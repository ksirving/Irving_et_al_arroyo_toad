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cwrp-my.sharepoint.com/personal/katiei_sccwrp_org/Documents/Documents - Katie’s MacBook Pro/git/Irving_et_al_arroyo_toad/Tables/"/>
    </mc:Choice>
  </mc:AlternateContent>
  <xr:revisionPtr revIDLastSave="284" documentId="8_{09256A24-123F-B64E-BC00-9B9FEFFC0599}" xr6:coauthVersionLast="47" xr6:coauthVersionMax="47" xr10:uidLastSave="{46CB8B2E-C852-DE40-ABEE-A8B1014D5197}"/>
  <bookViews>
    <workbookView xWindow="38840" yWindow="3420" windowWidth="33600" windowHeight="19360" activeTab="4" xr2:uid="{A6C0AEEB-32FB-0A47-836B-0AB6323C08E0}"/>
  </bookViews>
  <sheets>
    <sheet name="Table 4" sheetId="1" r:id="rId1"/>
    <sheet name="Elevation" sheetId="7" r:id="rId2"/>
    <sheet name="Overlap" sheetId="5" r:id="rId3"/>
    <sheet name="Critical Land" sheetId="2" r:id="rId4"/>
    <sheet name="FFM Wide" sheetId="6" r:id="rId5"/>
    <sheet name="FFM" sheetId="3" r:id="rId6"/>
    <sheet name="Scenarios" sheetId="4" r:id="rId7"/>
    <sheet name="Rel importance" sheetId="8" r:id="rId8"/>
  </sheets>
  <definedNames>
    <definedName name="_xlnm._FilterDatabase" localSheetId="5" hidden="1">FFM!$A$1:$C$55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2" l="1"/>
  <c r="I37" i="2"/>
  <c r="I40" i="2"/>
  <c r="I35" i="2"/>
  <c r="I38" i="2"/>
  <c r="I39" i="2"/>
  <c r="I36" i="2"/>
  <c r="I33" i="2"/>
  <c r="I32" i="2"/>
  <c r="I30" i="2"/>
  <c r="I34" i="2"/>
  <c r="H31" i="2"/>
  <c r="H37" i="2"/>
  <c r="H40" i="2"/>
  <c r="H35" i="2"/>
  <c r="H38" i="2"/>
  <c r="H39" i="2"/>
  <c r="H36" i="2"/>
  <c r="H33" i="2"/>
  <c r="H32" i="2"/>
  <c r="H30" i="2"/>
  <c r="H34" i="2"/>
  <c r="I3" i="2"/>
  <c r="I4" i="2"/>
  <c r="I5" i="2"/>
  <c r="I6" i="2"/>
  <c r="I7" i="2"/>
  <c r="I8" i="2"/>
  <c r="I9" i="2"/>
  <c r="I10" i="2"/>
  <c r="I11" i="2"/>
  <c r="I12" i="2"/>
  <c r="I2" i="2"/>
  <c r="H3" i="2"/>
  <c r="H4" i="2"/>
  <c r="H5" i="2"/>
  <c r="H6" i="2"/>
  <c r="H7" i="2"/>
  <c r="H8" i="2"/>
  <c r="H9" i="2"/>
  <c r="H10" i="2"/>
  <c r="H11" i="2"/>
  <c r="H12" i="2"/>
  <c r="H2" i="2"/>
  <c r="G4" i="2"/>
  <c r="G5" i="2"/>
  <c r="G6" i="2"/>
  <c r="G7" i="2"/>
  <c r="G8" i="2"/>
  <c r="G9" i="2"/>
  <c r="G10" i="2"/>
  <c r="G11" i="2"/>
  <c r="G12" i="2"/>
  <c r="D4" i="2"/>
  <c r="D5" i="2"/>
  <c r="D6" i="2"/>
  <c r="D7" i="2"/>
  <c r="D8" i="2"/>
  <c r="D9" i="2"/>
  <c r="D10" i="2"/>
  <c r="D11" i="2"/>
  <c r="D12" i="2"/>
  <c r="G3" i="2"/>
  <c r="D3" i="2"/>
</calcChain>
</file>

<file path=xl/sharedStrings.xml><?xml version="1.0" encoding="utf-8"?>
<sst xmlns="http://schemas.openxmlformats.org/spreadsheetml/2006/main" count="617" uniqueCount="236">
  <si>
    <t>Mean</t>
  </si>
  <si>
    <t>Range Overlap</t>
  </si>
  <si>
    <t>Baseline</t>
  </si>
  <si>
    <t>Range Size</t>
  </si>
  <si>
    <t>T Statistic</t>
  </si>
  <si>
    <t>DF</t>
  </si>
  <si>
    <t>P-Value</t>
  </si>
  <si>
    <t xml:space="preserve"> - </t>
  </si>
  <si>
    <t>&lt;0.001</t>
  </si>
  <si>
    <t>Scenario</t>
  </si>
  <si>
    <t>Critical habitat</t>
  </si>
  <si>
    <t>Protected Land</t>
  </si>
  <si>
    <t>Metric</t>
  </si>
  <si>
    <t>DegreesOfFreedom</t>
  </si>
  <si>
    <t>Elev</t>
  </si>
  <si>
    <t>DS_Mag_50</t>
  </si>
  <si>
    <t>FA_Mag</t>
  </si>
  <si>
    <t>Peak_2</t>
  </si>
  <si>
    <t>Peak_10</t>
  </si>
  <si>
    <t>Q99</t>
  </si>
  <si>
    <t>SP_Mag</t>
  </si>
  <si>
    <t>Wet_BFL_Mag_10</t>
  </si>
  <si>
    <t>Wet_BFL_Mag_50</t>
  </si>
  <si>
    <t>OverlapCount</t>
  </si>
  <si>
    <t>BaselinePresences</t>
  </si>
  <si>
    <t>OverlapPerc</t>
  </si>
  <si>
    <t>FuturePresences</t>
  </si>
  <si>
    <t>DiffInRangeSize</t>
  </si>
  <si>
    <t>DiffInRangeSizePerc</t>
  </si>
  <si>
    <t>Scenario2</t>
  </si>
  <si>
    <t>Change</t>
  </si>
  <si>
    <t xml:space="preserve">Change </t>
  </si>
  <si>
    <t>Number of Occurrences</t>
  </si>
  <si>
    <t>Dry Season Baseflow</t>
  </si>
  <si>
    <t>Fall Pulse</t>
  </si>
  <si>
    <t>Largest Annual Storm</t>
  </si>
  <si>
    <t>Peak Flow: 10-Year Flood</t>
  </si>
  <si>
    <t>Peak Flow: 2-Year Flood</t>
  </si>
  <si>
    <t>Spring Recession</t>
  </si>
  <si>
    <t>Wet Season Baseflow (Low)</t>
  </si>
  <si>
    <t>Wet Season Baseflow (Med)</t>
  </si>
  <si>
    <t>0.05  +/-  0</t>
  </si>
  <si>
    <t>-0.01  +/-  0</t>
  </si>
  <si>
    <t>0.01  +/-  0.01</t>
  </si>
  <si>
    <t>0  +/-  0</t>
  </si>
  <si>
    <t>Wetter (P +20%)</t>
  </si>
  <si>
    <t>Drier (P -20%)</t>
  </si>
  <si>
    <t>Hotter (T +2C)</t>
  </si>
  <si>
    <t>Amplified extremes: Wet wetter, dry drier (P+-20%)</t>
  </si>
  <si>
    <t>Large changes, drier/hotter (P -20%, T+2)</t>
  </si>
  <si>
    <t>Small changes, drier/hotter (P -10%, T +1C)</t>
  </si>
  <si>
    <t>Large changes, wetter/hotter (P +20%, T+2)</t>
  </si>
  <si>
    <t>Small changes, wetter/hotter (P +10%, T +1C)</t>
  </si>
  <si>
    <t>Large changes, amplified extremes/hotter (P +-20% , T+2)</t>
  </si>
  <si>
    <t>Small changes, amplified extremes/hotter (P +-10% , T+1)</t>
  </si>
  <si>
    <t>Amplified Extremes</t>
  </si>
  <si>
    <t>Drier</t>
  </si>
  <si>
    <t>Hotter</t>
  </si>
  <si>
    <t>Large Perturbations, drier/hotter</t>
  </si>
  <si>
    <t>Large Perturbations, extremes/hotter</t>
  </si>
  <si>
    <t>Large Perturbations, wetter/hotter</t>
  </si>
  <si>
    <t>Small Perturbations, drier/hotter</t>
  </si>
  <si>
    <t>Small Perturbations, extremes/hotter</t>
  </si>
  <si>
    <t>Small Perturbations, wetter/hotter</t>
  </si>
  <si>
    <t>Wetter</t>
  </si>
  <si>
    <t>219.31  +/-  10.89</t>
  </si>
  <si>
    <t>240.98  +/-  11.53</t>
  </si>
  <si>
    <t>214.22  +/-  10.65</t>
  </si>
  <si>
    <t>158.23  +/-  11.54</t>
  </si>
  <si>
    <t>137.14  +/-  8.96</t>
  </si>
  <si>
    <t>151.89  +/-  10.72</t>
  </si>
  <si>
    <t>163.77  +/-  12.56</t>
  </si>
  <si>
    <t>199.79  +/-  11.14</t>
  </si>
  <si>
    <t>199.77  +/-  11.3</t>
  </si>
  <si>
    <t>214  +/-  12.27</t>
  </si>
  <si>
    <t>241.17  +/-  12.33</t>
  </si>
  <si>
    <t>scenario_name</t>
  </si>
  <si>
    <t>Description</t>
  </si>
  <si>
    <t>P</t>
  </si>
  <si>
    <t>T</t>
  </si>
  <si>
    <t>P_wet</t>
  </si>
  <si>
    <t>P_dry</t>
  </si>
  <si>
    <t>Historical 1950-2014 timeseries</t>
  </si>
  <si>
    <t>Monthly precipitation is 20% higher than baseline</t>
  </si>
  <si>
    <t>Monthly precipitation is 20% lower than baseline</t>
  </si>
  <si>
    <t>Monthly average temperature is 2 degrees C higher</t>
  </si>
  <si>
    <t>Monthly precipitation is 20% higher in wet season and 20% lower in dry season</t>
  </si>
  <si>
    <t>Monthly precipitation is 20% lower than baseline, monthly average temperature is 2 degrees C higher</t>
  </si>
  <si>
    <t>Monthly precipitation is 10% lower than baseline, monthly average temperature is 1 degrees C higher</t>
  </si>
  <si>
    <t>Monthly precipitation is 20% higher than baseline, monthly average temperature is 2 degrees C higher</t>
  </si>
  <si>
    <t>Monthly precipitation is 10% higher than baseline, monthly average temperature is 1 degrees C higher</t>
  </si>
  <si>
    <t>Monthly precipitation is 20% higher in wet season and 20% lower in dry season, monthly average temperature is 2 degrees C higher</t>
  </si>
  <si>
    <t>Monthly precipitation is 10% higher in wet season and 10% lower in dry season, monthly average temperature is 1 degrees C higher</t>
  </si>
  <si>
    <t>Yes</t>
  </si>
  <si>
    <t>Critical</t>
  </si>
  <si>
    <t>Presences</t>
  </si>
  <si>
    <t>TotalCells</t>
  </si>
  <si>
    <t>Proportion</t>
  </si>
  <si>
    <t>Protected</t>
  </si>
  <si>
    <t>0.12  +/-  0.01</t>
  </si>
  <si>
    <t>0.03  +/-  0</t>
  </si>
  <si>
    <t>0.06  +/-  0</t>
  </si>
  <si>
    <t>0.08  +/-  0.01</t>
  </si>
  <si>
    <t>+/- change</t>
  </si>
  <si>
    <t>-</t>
  </si>
  <si>
    <t>Amplified extremes</t>
  </si>
  <si>
    <t xml:space="preserve">Wetter </t>
  </si>
  <si>
    <t xml:space="preserve">Drier </t>
  </si>
  <si>
    <t xml:space="preserve">Hotter </t>
  </si>
  <si>
    <t xml:space="preserve">Small changes, drier/hotter </t>
  </si>
  <si>
    <t xml:space="preserve">Large changes, drier/hotter </t>
  </si>
  <si>
    <t xml:space="preserve">Small changes, wetter/hotter </t>
  </si>
  <si>
    <t xml:space="preserve">Large changes, wetter/hotter </t>
  </si>
  <si>
    <t>Large changes, amplified extremes/hotter</t>
  </si>
  <si>
    <t xml:space="preserve">Small changes, amplified extremes/hotter </t>
  </si>
  <si>
    <t>Elevation</t>
  </si>
  <si>
    <t>Peak Flow: Magnitude (10-year flood)</t>
  </si>
  <si>
    <t>Increase tends to increase probability</t>
  </si>
  <si>
    <t>+</t>
  </si>
  <si>
    <t>Spring Recession Flow: Magnitude</t>
  </si>
  <si>
    <t>Dry-Season Baseflow: Magnitude</t>
  </si>
  <si>
    <t>Reduction tends to increase probability</t>
  </si>
  <si>
    <t>Peak Flow: Magnitude (2-year flood)</t>
  </si>
  <si>
    <t>Unable to determine</t>
  </si>
  <si>
    <t>n/a</t>
  </si>
  <si>
    <t>Peak Flow: Magnitude of largest storm (Q99)</t>
  </si>
  <si>
    <t>Wet-Season Baseflow: Magnitude</t>
  </si>
  <si>
    <t>Wet-Season: Median Magnitude</t>
  </si>
  <si>
    <t>Fall Pulse Flow: Magnitude</t>
  </si>
  <si>
    <t>Functional Flow Metric</t>
  </si>
  <si>
    <t>General Guidance for Arroyo Toad</t>
  </si>
  <si>
    <t>Direction of relationship (+/-)</t>
  </si>
  <si>
    <t>Relative Importance (%)</t>
  </si>
  <si>
    <t>0.04  +/-  0</t>
  </si>
  <si>
    <t>-14.16  +/-  0.55</t>
  </si>
  <si>
    <t>-29.12  +/-  1.18</t>
  </si>
  <si>
    <t>-9.8  +/-  0.32</t>
  </si>
  <si>
    <t>1.61  +/-  0.03</t>
  </si>
  <si>
    <t>0.04  +/-  0.01</t>
  </si>
  <si>
    <t>-16.55  +/-  0.62</t>
  </si>
  <si>
    <t>-34.44  +/-  1.34</t>
  </si>
  <si>
    <t>-11.42  +/-  0.37</t>
  </si>
  <si>
    <t>2.25  +/-  0.05</t>
  </si>
  <si>
    <t>-0.02  +/-  0</t>
  </si>
  <si>
    <t>0  +/-  0.01</t>
  </si>
  <si>
    <t>-0.05  +/-  0.01</t>
  </si>
  <si>
    <t>-14.18  +/-  0.54</t>
  </si>
  <si>
    <t>-28.85  +/-  1.16</t>
  </si>
  <si>
    <t>-9.67  +/-  0.32</t>
  </si>
  <si>
    <t>1.67  +/-  0.04</t>
  </si>
  <si>
    <t>0.13  +/-  0.01</t>
  </si>
  <si>
    <t>0.31  +/-  0.01</t>
  </si>
  <si>
    <t>-28.92  +/-  1.34</t>
  </si>
  <si>
    <t>-64.61  +/-  3.15</t>
  </si>
  <si>
    <t>-19.32  +/-  0.89</t>
  </si>
  <si>
    <t>10.83  +/-  0.55</t>
  </si>
  <si>
    <t>-13.92  +/-  0.54</t>
  </si>
  <si>
    <t>-28.55  +/-  1.16</t>
  </si>
  <si>
    <t>-9.65  +/-  0.32</t>
  </si>
  <si>
    <t>1.46  +/-  0.03</t>
  </si>
  <si>
    <t>0.05  +/-  0.01</t>
  </si>
  <si>
    <t>-18.96  +/-  0.72</t>
  </si>
  <si>
    <t>-41  +/-  1.57</t>
  </si>
  <si>
    <t>-12.8  +/-  0.44</t>
  </si>
  <si>
    <t>3.23  +/-  0.15</t>
  </si>
  <si>
    <t>-0.02  +/-  0.01</t>
  </si>
  <si>
    <t>0.22  +/-  0.01</t>
  </si>
  <si>
    <t>-28.22  +/-  1.19</t>
  </si>
  <si>
    <t>-60.31  +/-  2.68</t>
  </si>
  <si>
    <t>-18.02  +/-  0.75</t>
  </si>
  <si>
    <t>8.75  +/-  0.47</t>
  </si>
  <si>
    <t>-0.06  +/-  0.01</t>
  </si>
  <si>
    <t>-21.63  +/-  0.83</t>
  </si>
  <si>
    <t>-45.96  +/-  1.82</t>
  </si>
  <si>
    <t>-14.45  +/-  0.5</t>
  </si>
  <si>
    <t>4.09  +/-  0.18</t>
  </si>
  <si>
    <t>-0.01  +/-  0.01</t>
  </si>
  <si>
    <t>0.5  +/-  0.02</t>
  </si>
  <si>
    <t>-41.55  +/-  1.84</t>
  </si>
  <si>
    <t>-95.1  +/-  4.53</t>
  </si>
  <si>
    <t>-27.88  +/-  1.28</t>
  </si>
  <si>
    <t>17.99  +/-  0.76</t>
  </si>
  <si>
    <t>-0.06  +/-  0.02</t>
  </si>
  <si>
    <t>-19.39  +/-  0.74</t>
  </si>
  <si>
    <t>-41.75  +/-  1.63</t>
  </si>
  <si>
    <t>-13.1  +/-  0.45</t>
  </si>
  <si>
    <t>3.41  +/-  0.16</t>
  </si>
  <si>
    <t>0.14  +/-  0.01</t>
  </si>
  <si>
    <t>0.31  +/-  0.02</t>
  </si>
  <si>
    <t>-28.68  +/-  1.32</t>
  </si>
  <si>
    <t>-64.34  +/-  3.14</t>
  </si>
  <si>
    <t>-19.3  +/-  0.88</t>
  </si>
  <si>
    <t>10.57  +/-  0.55</t>
  </si>
  <si>
    <t>-0.07  +/-  0.01</t>
  </si>
  <si>
    <t>PValueR</t>
  </si>
  <si>
    <t>304.54  +/-  6.86</t>
  </si>
  <si>
    <t>296.39  +/-  6.73</t>
  </si>
  <si>
    <t>299.13  +/-  6.75</t>
  </si>
  <si>
    <t>413.42  +/-  15.84</t>
  </si>
  <si>
    <t>372.76  +/-  13.71</t>
  </si>
  <si>
    <t>409.01  +/-  15.61</t>
  </si>
  <si>
    <t>314.05  +/-  19.57</t>
  </si>
  <si>
    <t>343.88  +/-  8.86</t>
  </si>
  <si>
    <t>336.91  +/-  9.15</t>
  </si>
  <si>
    <t>311.86  +/-  9.47</t>
  </si>
  <si>
    <t>227.93  +/-  5.97</t>
  </si>
  <si>
    <t>number of occurences</t>
  </si>
  <si>
    <t>Change in occurrences</t>
  </si>
  <si>
    <t>52.55  (1174)</t>
  </si>
  <si>
    <t>49.74  (949)</t>
  </si>
  <si>
    <t>51.31  (1179)</t>
  </si>
  <si>
    <t>55.81  (389)</t>
  </si>
  <si>
    <t>51.95  (1172)</t>
  </si>
  <si>
    <t>56.64  (904)</t>
  </si>
  <si>
    <t>58.19  (490)</t>
  </si>
  <si>
    <t>58.11  (770)</t>
  </si>
  <si>
    <t>41.81  (176)</t>
  </si>
  <si>
    <t>56.83  (865)</t>
  </si>
  <si>
    <t>53.01  (369)</t>
  </si>
  <si>
    <t>55.15  (1232)</t>
  </si>
  <si>
    <t>54.93  (1048)</t>
  </si>
  <si>
    <t>53.96  (1240)</t>
  </si>
  <si>
    <t>62.55  (436)</t>
  </si>
  <si>
    <t>54.26  (1224)</t>
  </si>
  <si>
    <t>55.33  (883)</t>
  </si>
  <si>
    <t>56.06  (472)</t>
  </si>
  <si>
    <t>56.75  (752)</t>
  </si>
  <si>
    <t>70.31  (296)</t>
  </si>
  <si>
    <t>56.37  (858)</t>
  </si>
  <si>
    <t>61.49  (428)</t>
  </si>
  <si>
    <t>Drier/hotter (Small)</t>
  </si>
  <si>
    <t>Drier/hotter (Large)</t>
  </si>
  <si>
    <t>Wetter/hotter (Small)</t>
  </si>
  <si>
    <t>Wetter/hotter (Large)</t>
  </si>
  <si>
    <t>Extremes/hotter (Small)</t>
  </si>
  <si>
    <t>Extremes/hotter (Large)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</si>
</sst>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70C0"/>
      <name val="Times New Roman"/>
      <family val="1"/>
    </font>
    <font>
      <sz val="11"/>
      <color rgb="FF000000"/>
      <name val="Times New Roman"/>
      <family val="1"/>
    </font>
    <font>
      <sz val="11"/>
      <color rgb="FF0070C0"/>
      <name val="Times New Roman"/>
      <family val="1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1" fontId="0" fillId="0" borderId="0" xfId="0" applyNumberForma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64" fontId="0" fillId="0" borderId="0" xfId="0" applyNumberFormat="1"/>
    <xf numFmtId="2" fontId="7" fillId="0" borderId="0" xfId="0" applyNumberFormat="1" applyFon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9C89-2AC8-B74E-8BC5-7A6F8B3BBCDF}">
  <dimension ref="A1:K32"/>
  <sheetViews>
    <sheetView workbookViewId="0">
      <selection activeCell="B21" sqref="B21"/>
    </sheetView>
  </sheetViews>
  <sheetFormatPr baseColWidth="10" defaultRowHeight="16" x14ac:dyDescent="0.2"/>
  <cols>
    <col min="1" max="1" width="54.6640625" customWidth="1"/>
    <col min="2" max="2" width="21.83203125" style="1" customWidth="1"/>
    <col min="5" max="5" width="13.6640625" customWidth="1"/>
    <col min="7" max="7" width="29.1640625" style="2" customWidth="1"/>
    <col min="8" max="8" width="15.33203125" customWidth="1"/>
    <col min="10" max="10" width="17" customWidth="1"/>
  </cols>
  <sheetData>
    <row r="1" spans="1:11" x14ac:dyDescent="0.2">
      <c r="A1" t="s">
        <v>9</v>
      </c>
      <c r="B1" s="1" t="s">
        <v>0</v>
      </c>
      <c r="C1" t="s">
        <v>4</v>
      </c>
      <c r="D1" t="s">
        <v>5</v>
      </c>
      <c r="E1" t="s">
        <v>6</v>
      </c>
      <c r="F1" t="s">
        <v>3</v>
      </c>
      <c r="G1" s="2" t="s">
        <v>1</v>
      </c>
      <c r="H1" s="5" t="s">
        <v>10</v>
      </c>
      <c r="I1" s="5" t="s">
        <v>103</v>
      </c>
      <c r="J1" s="5" t="s">
        <v>11</v>
      </c>
      <c r="K1" s="5" t="s">
        <v>103</v>
      </c>
    </row>
    <row r="2" spans="1:11" x14ac:dyDescent="0.2">
      <c r="A2" t="s">
        <v>2</v>
      </c>
      <c r="B2" t="s">
        <v>196</v>
      </c>
      <c r="C2" s="2"/>
      <c r="D2" s="2"/>
      <c r="E2" s="3"/>
      <c r="F2">
        <v>2234</v>
      </c>
      <c r="H2" s="2" t="s">
        <v>208</v>
      </c>
      <c r="I2" s="6"/>
      <c r="J2" s="6" t="s">
        <v>219</v>
      </c>
      <c r="K2" s="6" t="s">
        <v>104</v>
      </c>
    </row>
    <row r="3" spans="1:11" x14ac:dyDescent="0.2">
      <c r="A3" t="s">
        <v>106</v>
      </c>
      <c r="B3" t="s">
        <v>205</v>
      </c>
      <c r="C3" s="2">
        <v>0.48284615224529698</v>
      </c>
      <c r="D3" s="2">
        <v>1324.48841952869</v>
      </c>
      <c r="E3" s="2" t="s">
        <v>8</v>
      </c>
      <c r="F3">
        <v>1908</v>
      </c>
      <c r="G3" s="2">
        <v>81.826320501342906</v>
      </c>
      <c r="H3" s="2" t="s">
        <v>209</v>
      </c>
      <c r="I3" s="2">
        <v>80.834752981260607</v>
      </c>
      <c r="J3" s="6" t="s">
        <v>220</v>
      </c>
      <c r="K3" s="16">
        <v>85.0649351</v>
      </c>
    </row>
    <row r="4" spans="1:11" x14ac:dyDescent="0.2">
      <c r="A4" t="s">
        <v>107</v>
      </c>
      <c r="B4" t="s">
        <v>197</v>
      </c>
      <c r="C4" s="2">
        <v>1.25008233200895</v>
      </c>
      <c r="D4" s="2">
        <v>1274.0621024206901</v>
      </c>
      <c r="E4" s="2">
        <v>0.73895999999999995</v>
      </c>
      <c r="F4">
        <v>2298</v>
      </c>
      <c r="G4" s="2">
        <v>94.449418084154004</v>
      </c>
      <c r="H4" s="2" t="s">
        <v>210</v>
      </c>
      <c r="I4" s="2">
        <v>100.425894378194</v>
      </c>
      <c r="J4" s="6" t="s">
        <v>221</v>
      </c>
      <c r="K4" s="16">
        <v>100.649351</v>
      </c>
    </row>
    <row r="5" spans="1:11" x14ac:dyDescent="0.2">
      <c r="A5" t="s">
        <v>108</v>
      </c>
      <c r="B5" t="s">
        <v>198</v>
      </c>
      <c r="C5" s="2">
        <v>8.5867093782353994</v>
      </c>
      <c r="D5" s="2">
        <v>1188.8835257185201</v>
      </c>
      <c r="E5" s="3">
        <v>0.01</v>
      </c>
      <c r="F5">
        <v>697</v>
      </c>
      <c r="G5" s="2">
        <v>29.230080572963299</v>
      </c>
      <c r="H5" s="2" t="s">
        <v>211</v>
      </c>
      <c r="I5" s="2">
        <v>33.134582623509402</v>
      </c>
      <c r="J5" s="6" t="s">
        <v>222</v>
      </c>
      <c r="K5" s="16">
        <v>35.389610400000002</v>
      </c>
    </row>
    <row r="6" spans="1:11" x14ac:dyDescent="0.2">
      <c r="A6" t="s">
        <v>105</v>
      </c>
      <c r="B6" t="s">
        <v>195</v>
      </c>
      <c r="C6" s="2">
        <v>0.86283519282464605</v>
      </c>
      <c r="D6" s="2">
        <v>1314.9263844595</v>
      </c>
      <c r="E6" s="2">
        <v>0.54</v>
      </c>
      <c r="F6">
        <v>2256</v>
      </c>
      <c r="G6" s="2">
        <v>95.926589077887201</v>
      </c>
      <c r="H6" s="2" t="s">
        <v>212</v>
      </c>
      <c r="I6" s="2">
        <v>99.829642248722294</v>
      </c>
      <c r="J6" s="6" t="s">
        <v>223</v>
      </c>
      <c r="K6" s="16">
        <v>99.350649399999995</v>
      </c>
    </row>
    <row r="7" spans="1:11" x14ac:dyDescent="0.2">
      <c r="A7" t="s">
        <v>109</v>
      </c>
      <c r="B7" t="s">
        <v>202</v>
      </c>
      <c r="C7" s="2">
        <v>4.5957724494372902</v>
      </c>
      <c r="D7" s="2">
        <v>1303.5536362103601</v>
      </c>
      <c r="E7" s="3" t="s">
        <v>8</v>
      </c>
      <c r="F7">
        <v>1596</v>
      </c>
      <c r="G7" s="2">
        <v>65.935541629364394</v>
      </c>
      <c r="H7" s="2" t="s">
        <v>213</v>
      </c>
      <c r="I7" s="2">
        <v>77.001703577512799</v>
      </c>
      <c r="J7" s="6" t="s">
        <v>224</v>
      </c>
      <c r="K7" s="16">
        <v>71.672077900000005</v>
      </c>
    </row>
    <row r="8" spans="1:11" x14ac:dyDescent="0.2">
      <c r="A8" t="s">
        <v>110</v>
      </c>
      <c r="B8" t="s">
        <v>199</v>
      </c>
      <c r="C8" s="2">
        <v>8.9682453404032501</v>
      </c>
      <c r="D8" s="2">
        <v>1229.9886694023701</v>
      </c>
      <c r="E8" s="2">
        <v>8.4099999999999994E-2</v>
      </c>
      <c r="F8">
        <v>842</v>
      </c>
      <c r="G8" s="2">
        <v>34.9597135183527</v>
      </c>
      <c r="H8" s="2" t="s">
        <v>214</v>
      </c>
      <c r="I8" s="2">
        <v>41.7376490630324</v>
      </c>
      <c r="J8" s="6" t="s">
        <v>225</v>
      </c>
      <c r="K8" s="16">
        <v>38.3116883</v>
      </c>
    </row>
    <row r="9" spans="1:11" x14ac:dyDescent="0.2">
      <c r="A9" t="s">
        <v>111</v>
      </c>
      <c r="B9" t="s">
        <v>204</v>
      </c>
      <c r="C9" s="2">
        <v>4.1315972183460898</v>
      </c>
      <c r="D9" s="2">
        <v>1287.8068392437999</v>
      </c>
      <c r="E9" s="2">
        <v>0.63614000000000004</v>
      </c>
      <c r="F9">
        <v>1325</v>
      </c>
      <c r="G9" s="2">
        <v>55.819158460161098</v>
      </c>
      <c r="H9" s="2" t="s">
        <v>215</v>
      </c>
      <c r="I9" s="2">
        <v>65.587734241907995</v>
      </c>
      <c r="J9" s="6" t="s">
        <v>226</v>
      </c>
      <c r="K9" s="16">
        <v>61.038961</v>
      </c>
    </row>
    <row r="10" spans="1:11" x14ac:dyDescent="0.2">
      <c r="A10" t="s">
        <v>112</v>
      </c>
      <c r="B10" t="s">
        <v>201</v>
      </c>
      <c r="C10" s="2">
        <v>8.7444482752459898</v>
      </c>
      <c r="D10" s="2">
        <v>1171.70297285519</v>
      </c>
      <c r="E10" s="3" t="s">
        <v>8</v>
      </c>
      <c r="F10">
        <v>696</v>
      </c>
      <c r="G10" s="2">
        <v>29.095792300805702</v>
      </c>
      <c r="H10" s="2" t="s">
        <v>216</v>
      </c>
      <c r="I10" s="2">
        <v>14.991482112436101</v>
      </c>
      <c r="J10" s="6" t="s">
        <v>227</v>
      </c>
      <c r="K10" s="16">
        <v>24.025974000000001</v>
      </c>
    </row>
    <row r="11" spans="1:11" x14ac:dyDescent="0.2">
      <c r="A11" t="s">
        <v>114</v>
      </c>
      <c r="B11" t="s">
        <v>203</v>
      </c>
      <c r="C11" s="2">
        <v>4.8046259615947902</v>
      </c>
      <c r="D11" s="2">
        <v>1306.7956098152299</v>
      </c>
      <c r="E11" s="3">
        <v>0.01</v>
      </c>
      <c r="F11">
        <v>1522</v>
      </c>
      <c r="G11" s="2">
        <v>63.607878245299901</v>
      </c>
      <c r="H11" s="2" t="s">
        <v>217</v>
      </c>
      <c r="I11" s="2">
        <v>73.679727427597996</v>
      </c>
      <c r="J11" s="6" t="s">
        <v>228</v>
      </c>
      <c r="K11" s="16">
        <v>69.642857100000001</v>
      </c>
    </row>
    <row r="12" spans="1:11" x14ac:dyDescent="0.2">
      <c r="A12" t="s">
        <v>113</v>
      </c>
      <c r="B12" t="s">
        <v>200</v>
      </c>
      <c r="C12" s="2">
        <v>8.9143266864399102</v>
      </c>
      <c r="D12" s="2">
        <v>1222.8428590204901</v>
      </c>
      <c r="E12" s="3">
        <v>0.01</v>
      </c>
      <c r="F12">
        <v>421</v>
      </c>
      <c r="G12" s="2">
        <v>18.710832587287399</v>
      </c>
      <c r="H12" s="2" t="s">
        <v>218</v>
      </c>
      <c r="I12" s="2">
        <v>31.431005110732499</v>
      </c>
      <c r="J12" s="6" t="s">
        <v>229</v>
      </c>
      <c r="K12" s="16">
        <v>34.740259700000003</v>
      </c>
    </row>
    <row r="16" spans="1:11" x14ac:dyDescent="0.2">
      <c r="B16"/>
      <c r="F16" s="1"/>
      <c r="G16" s="1"/>
    </row>
    <row r="17" spans="1:9" x14ac:dyDescent="0.2">
      <c r="B17" s="2"/>
      <c r="D17" s="2"/>
      <c r="E17" s="2"/>
      <c r="H17" s="2"/>
      <c r="I17" s="2"/>
    </row>
    <row r="18" spans="1:9" x14ac:dyDescent="0.2">
      <c r="B18" s="2"/>
      <c r="D18" s="2"/>
      <c r="E18" s="2"/>
      <c r="G18" s="16"/>
      <c r="H18" s="2"/>
      <c r="I18" s="2"/>
    </row>
    <row r="19" spans="1:9" x14ac:dyDescent="0.2">
      <c r="B19" s="2"/>
      <c r="D19" s="2"/>
      <c r="E19" s="2"/>
      <c r="G19" s="16"/>
      <c r="H19" s="2"/>
      <c r="I19" s="2"/>
    </row>
    <row r="20" spans="1:9" x14ac:dyDescent="0.2">
      <c r="B20" s="2"/>
      <c r="D20" s="2"/>
      <c r="E20" s="2"/>
      <c r="G20" s="16"/>
      <c r="H20" s="2"/>
      <c r="I20" s="2"/>
    </row>
    <row r="21" spans="1:9" x14ac:dyDescent="0.2">
      <c r="B21" s="2"/>
      <c r="D21" s="2"/>
      <c r="E21" s="2"/>
      <c r="G21" s="16"/>
      <c r="H21" s="2"/>
      <c r="I21" s="2"/>
    </row>
    <row r="22" spans="1:9" x14ac:dyDescent="0.2">
      <c r="B22" s="2"/>
      <c r="D22" s="2"/>
      <c r="E22" s="2"/>
      <c r="G22" s="16"/>
      <c r="H22" s="2"/>
      <c r="I22" s="2"/>
    </row>
    <row r="23" spans="1:9" x14ac:dyDescent="0.2">
      <c r="B23" s="2"/>
      <c r="D23" s="2"/>
      <c r="E23" s="2"/>
      <c r="G23" s="16"/>
      <c r="H23" s="2"/>
      <c r="I23" s="2"/>
    </row>
    <row r="24" spans="1:9" x14ac:dyDescent="0.2">
      <c r="B24" s="2"/>
      <c r="D24" s="2"/>
      <c r="E24" s="2"/>
      <c r="G24" s="16"/>
      <c r="H24" s="2"/>
      <c r="I24" s="2"/>
    </row>
    <row r="25" spans="1:9" x14ac:dyDescent="0.2">
      <c r="B25" s="2"/>
      <c r="D25" s="2"/>
      <c r="E25" s="2"/>
      <c r="G25" s="16"/>
      <c r="H25" s="2"/>
      <c r="I25" s="2"/>
    </row>
    <row r="26" spans="1:9" x14ac:dyDescent="0.2">
      <c r="B26" s="2"/>
      <c r="D26" s="2"/>
      <c r="E26" s="2"/>
      <c r="G26" s="16"/>
      <c r="H26" s="2"/>
      <c r="I26" s="2"/>
    </row>
    <row r="27" spans="1:9" x14ac:dyDescent="0.2">
      <c r="B27" s="2"/>
      <c r="D27" s="2"/>
      <c r="E27" s="2"/>
      <c r="G27" s="16"/>
      <c r="H27" s="2"/>
      <c r="I27" s="2"/>
    </row>
    <row r="28" spans="1:9" x14ac:dyDescent="0.2">
      <c r="A28" s="2"/>
      <c r="B28"/>
      <c r="C28" s="2"/>
      <c r="D28" s="2"/>
      <c r="F28" s="2"/>
      <c r="H28" s="2"/>
    </row>
    <row r="29" spans="1:9" x14ac:dyDescent="0.2">
      <c r="A29" s="2"/>
      <c r="B29"/>
      <c r="C29" s="2"/>
      <c r="D29" s="2"/>
      <c r="F29" s="2"/>
      <c r="H29" s="2"/>
    </row>
    <row r="30" spans="1:9" x14ac:dyDescent="0.2">
      <c r="A30" s="2"/>
      <c r="B30"/>
      <c r="C30" s="2"/>
      <c r="D30" s="2"/>
      <c r="F30" s="2"/>
      <c r="H30" s="2"/>
    </row>
    <row r="31" spans="1:9" x14ac:dyDescent="0.2">
      <c r="A31" s="2"/>
      <c r="B31"/>
      <c r="C31" s="2"/>
      <c r="D31" s="2"/>
      <c r="F31" s="2"/>
      <c r="H31" s="2"/>
    </row>
    <row r="32" spans="1:9" x14ac:dyDescent="0.2">
      <c r="A32" s="2"/>
      <c r="B32"/>
      <c r="C32" s="2"/>
      <c r="D32" s="2"/>
      <c r="F32" s="2"/>
      <c r="H32" s="2"/>
    </row>
  </sheetData>
  <phoneticPr fontId="1" type="noConversion"/>
  <conditionalFormatting sqref="E4">
    <cfRule type="cellIs" dxfId="6" priority="2" operator="lessThan">
      <formula>0.05</formula>
    </cfRule>
  </conditionalFormatting>
  <conditionalFormatting sqref="E8:E9">
    <cfRule type="cellIs" dxfId="5" priority="1" operator="lessThan">
      <formula>0.05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194B-C198-B349-9190-3CA7AD1B25A5}">
  <dimension ref="A2:I40"/>
  <sheetViews>
    <sheetView topLeftCell="A3" workbookViewId="0">
      <selection activeCell="C38" sqref="C38"/>
    </sheetView>
  </sheetViews>
  <sheetFormatPr baseColWidth="10" defaultRowHeight="16" x14ac:dyDescent="0.2"/>
  <cols>
    <col min="1" max="2" width="31.5" customWidth="1"/>
    <col min="5" max="5" width="16.83203125" customWidth="1"/>
    <col min="6" max="6" width="20.33203125" customWidth="1"/>
  </cols>
  <sheetData>
    <row r="2" spans="1:9" x14ac:dyDescent="0.2">
      <c r="A2" t="s">
        <v>2</v>
      </c>
      <c r="B2" t="s">
        <v>115</v>
      </c>
      <c r="C2">
        <v>240.98</v>
      </c>
      <c r="D2">
        <v>11.53</v>
      </c>
      <c r="E2">
        <v>1407.3271484375</v>
      </c>
      <c r="F2">
        <v>6.4187645912170401</v>
      </c>
      <c r="G2" t="s">
        <v>66</v>
      </c>
      <c r="I2">
        <v>1</v>
      </c>
    </row>
    <row r="5" spans="1:9" x14ac:dyDescent="0.2">
      <c r="A5" t="s">
        <v>58</v>
      </c>
      <c r="B5" t="s">
        <v>115</v>
      </c>
      <c r="C5">
        <v>137.13999999999999</v>
      </c>
      <c r="D5">
        <v>8.9600000000000009</v>
      </c>
      <c r="E5">
        <v>1393.73254394531</v>
      </c>
      <c r="F5">
        <v>5.5402159690856898</v>
      </c>
      <c r="G5" t="s">
        <v>69</v>
      </c>
      <c r="I5">
        <v>7</v>
      </c>
    </row>
    <row r="6" spans="1:9" x14ac:dyDescent="0.2">
      <c r="A6" t="s">
        <v>59</v>
      </c>
      <c r="B6" t="s">
        <v>115</v>
      </c>
      <c r="C6">
        <v>151.88999999999999</v>
      </c>
      <c r="D6">
        <v>10.72</v>
      </c>
      <c r="E6">
        <v>1393.73254394531</v>
      </c>
      <c r="F6">
        <v>4.5292448997497603</v>
      </c>
      <c r="G6" t="s">
        <v>70</v>
      </c>
      <c r="I6">
        <v>11</v>
      </c>
    </row>
    <row r="7" spans="1:9" x14ac:dyDescent="0.2">
      <c r="A7" t="s">
        <v>60</v>
      </c>
      <c r="B7" t="s">
        <v>115</v>
      </c>
      <c r="C7">
        <v>163.77000000000001</v>
      </c>
      <c r="D7">
        <v>12.56</v>
      </c>
      <c r="E7">
        <v>1393.73254394531</v>
      </c>
      <c r="F7">
        <v>5.5402159690856898</v>
      </c>
      <c r="G7" t="s">
        <v>71</v>
      </c>
      <c r="I7">
        <v>9</v>
      </c>
    </row>
    <row r="8" spans="1:9" x14ac:dyDescent="0.2">
      <c r="A8" t="s">
        <v>61</v>
      </c>
      <c r="B8" t="s">
        <v>115</v>
      </c>
      <c r="C8">
        <v>199.79</v>
      </c>
      <c r="D8">
        <v>11.14</v>
      </c>
      <c r="E8">
        <v>1407.3271484375</v>
      </c>
      <c r="F8">
        <v>5.5402159690856898</v>
      </c>
      <c r="G8" t="s">
        <v>72</v>
      </c>
      <c r="I8">
        <v>6</v>
      </c>
    </row>
    <row r="9" spans="1:9" x14ac:dyDescent="0.2">
      <c r="A9" t="s">
        <v>62</v>
      </c>
      <c r="B9" t="s">
        <v>115</v>
      </c>
      <c r="C9">
        <v>199.77</v>
      </c>
      <c r="D9">
        <v>11.3</v>
      </c>
      <c r="E9">
        <v>1407.3271484375</v>
      </c>
      <c r="F9">
        <v>5.5402159690856898</v>
      </c>
      <c r="G9" t="s">
        <v>73</v>
      </c>
      <c r="I9">
        <v>10</v>
      </c>
    </row>
    <row r="10" spans="1:9" x14ac:dyDescent="0.2">
      <c r="A10" t="s">
        <v>63</v>
      </c>
      <c r="B10" t="s">
        <v>115</v>
      </c>
      <c r="C10">
        <v>214</v>
      </c>
      <c r="D10">
        <v>12.27</v>
      </c>
      <c r="E10">
        <v>1407.3271484375</v>
      </c>
      <c r="F10">
        <v>5.5402159690856898</v>
      </c>
      <c r="G10" t="s">
        <v>74</v>
      </c>
      <c r="I10">
        <v>8</v>
      </c>
    </row>
    <row r="16" spans="1:9" x14ac:dyDescent="0.2">
      <c r="A16" t="s">
        <v>2</v>
      </c>
      <c r="B16" t="s">
        <v>115</v>
      </c>
      <c r="C16">
        <v>240.98</v>
      </c>
      <c r="D16">
        <v>11.53</v>
      </c>
      <c r="E16">
        <v>1407.3271484375</v>
      </c>
      <c r="F16">
        <v>6.4187645912170401</v>
      </c>
      <c r="G16" t="s">
        <v>66</v>
      </c>
      <c r="I16">
        <v>1</v>
      </c>
    </row>
    <row r="17" spans="1:9" x14ac:dyDescent="0.2">
      <c r="A17" t="s">
        <v>64</v>
      </c>
      <c r="B17" t="s">
        <v>115</v>
      </c>
      <c r="C17">
        <v>241.17</v>
      </c>
      <c r="D17">
        <v>12.33</v>
      </c>
      <c r="E17">
        <v>1407.3271484375</v>
      </c>
      <c r="F17">
        <v>6.4187645912170401</v>
      </c>
      <c r="G17" t="s">
        <v>75</v>
      </c>
      <c r="I17">
        <v>2</v>
      </c>
    </row>
    <row r="18" spans="1:9" x14ac:dyDescent="0.2">
      <c r="A18" t="s">
        <v>56</v>
      </c>
      <c r="B18" t="s">
        <v>115</v>
      </c>
      <c r="C18">
        <v>214.22</v>
      </c>
      <c r="D18">
        <v>10.65</v>
      </c>
      <c r="E18">
        <v>1407.3271484375</v>
      </c>
      <c r="F18">
        <v>6.4187645912170401</v>
      </c>
      <c r="G18" t="s">
        <v>67</v>
      </c>
      <c r="I18">
        <v>3</v>
      </c>
    </row>
    <row r="19" spans="1:9" x14ac:dyDescent="0.2">
      <c r="A19" t="s">
        <v>57</v>
      </c>
      <c r="B19" t="s">
        <v>115</v>
      </c>
      <c r="C19">
        <v>158.22999999999999</v>
      </c>
      <c r="D19">
        <v>11.54</v>
      </c>
      <c r="E19">
        <v>1407.3271484375</v>
      </c>
      <c r="F19">
        <v>5.5402159690856898</v>
      </c>
      <c r="G19" t="s">
        <v>68</v>
      </c>
      <c r="I19">
        <v>4</v>
      </c>
    </row>
    <row r="20" spans="1:9" x14ac:dyDescent="0.2">
      <c r="A20" t="s">
        <v>55</v>
      </c>
      <c r="B20" t="s">
        <v>115</v>
      </c>
      <c r="C20">
        <v>219.31</v>
      </c>
      <c r="D20">
        <v>10.89</v>
      </c>
      <c r="E20">
        <v>1407.3271484375</v>
      </c>
      <c r="F20">
        <v>6.4187645912170401</v>
      </c>
      <c r="G20" t="s">
        <v>65</v>
      </c>
      <c r="I20">
        <v>5</v>
      </c>
    </row>
    <row r="21" spans="1:9" x14ac:dyDescent="0.2">
      <c r="A21" t="s">
        <v>61</v>
      </c>
      <c r="B21" t="s">
        <v>115</v>
      </c>
      <c r="C21">
        <v>199.79</v>
      </c>
      <c r="D21">
        <v>11.14</v>
      </c>
      <c r="E21">
        <v>1407.3271484375</v>
      </c>
      <c r="F21">
        <v>5.5402159690856898</v>
      </c>
      <c r="G21" t="s">
        <v>72</v>
      </c>
      <c r="I21">
        <v>6</v>
      </c>
    </row>
    <row r="22" spans="1:9" x14ac:dyDescent="0.2">
      <c r="A22" t="s">
        <v>58</v>
      </c>
      <c r="B22" t="s">
        <v>115</v>
      </c>
      <c r="C22">
        <v>137.13999999999999</v>
      </c>
      <c r="D22">
        <v>8.9600000000000009</v>
      </c>
      <c r="E22">
        <v>1393.73254394531</v>
      </c>
      <c r="F22">
        <v>5.5402159690856898</v>
      </c>
      <c r="G22" t="s">
        <v>69</v>
      </c>
      <c r="I22">
        <v>7</v>
      </c>
    </row>
    <row r="23" spans="1:9" x14ac:dyDescent="0.2">
      <c r="A23" t="s">
        <v>63</v>
      </c>
      <c r="B23" t="s">
        <v>115</v>
      </c>
      <c r="C23">
        <v>214</v>
      </c>
      <c r="D23">
        <v>12.27</v>
      </c>
      <c r="E23">
        <v>1407.3271484375</v>
      </c>
      <c r="F23">
        <v>5.5402159690856898</v>
      </c>
      <c r="G23" t="s">
        <v>74</v>
      </c>
      <c r="I23">
        <v>8</v>
      </c>
    </row>
    <row r="24" spans="1:9" x14ac:dyDescent="0.2">
      <c r="A24" t="s">
        <v>60</v>
      </c>
      <c r="B24" t="s">
        <v>115</v>
      </c>
      <c r="C24">
        <v>163.77000000000001</v>
      </c>
      <c r="D24">
        <v>12.56</v>
      </c>
      <c r="E24">
        <v>1393.73254394531</v>
      </c>
      <c r="F24">
        <v>5.5402159690856898</v>
      </c>
      <c r="G24" t="s">
        <v>71</v>
      </c>
      <c r="I24">
        <v>9</v>
      </c>
    </row>
    <row r="25" spans="1:9" x14ac:dyDescent="0.2">
      <c r="A25" t="s">
        <v>62</v>
      </c>
      <c r="B25" t="s">
        <v>115</v>
      </c>
      <c r="C25">
        <v>199.77</v>
      </c>
      <c r="D25">
        <v>11.3</v>
      </c>
      <c r="E25">
        <v>1407.3271484375</v>
      </c>
      <c r="F25">
        <v>5.5402159690856898</v>
      </c>
      <c r="G25" t="s">
        <v>73</v>
      </c>
      <c r="I25">
        <v>10</v>
      </c>
    </row>
    <row r="26" spans="1:9" x14ac:dyDescent="0.2">
      <c r="A26" t="s">
        <v>59</v>
      </c>
      <c r="B26" t="s">
        <v>115</v>
      </c>
      <c r="C26">
        <v>151.88999999999999</v>
      </c>
      <c r="D26">
        <v>10.72</v>
      </c>
      <c r="E26">
        <v>1393.73254394531</v>
      </c>
      <c r="F26">
        <v>4.5292448997497603</v>
      </c>
      <c r="G26" t="s">
        <v>70</v>
      </c>
      <c r="I26">
        <v>11</v>
      </c>
    </row>
    <row r="30" spans="1:9" x14ac:dyDescent="0.2">
      <c r="A30" t="s">
        <v>14</v>
      </c>
      <c r="B30" t="s">
        <v>2</v>
      </c>
      <c r="C30" s="2">
        <v>1</v>
      </c>
      <c r="D30" s="2">
        <v>4466</v>
      </c>
      <c r="E30" t="s">
        <v>2</v>
      </c>
      <c r="F30" t="s">
        <v>196</v>
      </c>
      <c r="G30">
        <v>0</v>
      </c>
    </row>
    <row r="31" spans="1:9" x14ac:dyDescent="0.2">
      <c r="A31" t="s">
        <v>14</v>
      </c>
      <c r="B31" t="s">
        <v>64</v>
      </c>
      <c r="C31" s="15">
        <v>0</v>
      </c>
      <c r="D31" s="2">
        <v>4097.5524914761099</v>
      </c>
      <c r="E31" t="s">
        <v>64</v>
      </c>
      <c r="F31" t="s">
        <v>205</v>
      </c>
      <c r="G31">
        <v>1</v>
      </c>
    </row>
    <row r="32" spans="1:9" x14ac:dyDescent="0.2">
      <c r="A32" t="s">
        <v>14</v>
      </c>
      <c r="B32" t="s">
        <v>56</v>
      </c>
      <c r="C32" s="15">
        <v>0.73895999999999995</v>
      </c>
      <c r="D32" s="2">
        <v>4529.6513711294801</v>
      </c>
      <c r="E32" t="s">
        <v>56</v>
      </c>
      <c r="F32" t="s">
        <v>197</v>
      </c>
      <c r="G32">
        <v>2</v>
      </c>
    </row>
    <row r="33" spans="1:7" x14ac:dyDescent="0.2">
      <c r="A33" t="s">
        <v>14</v>
      </c>
      <c r="B33" t="s">
        <v>57</v>
      </c>
      <c r="C33" s="15">
        <v>1.414E-2</v>
      </c>
      <c r="D33" s="2">
        <v>997.95514940724604</v>
      </c>
      <c r="E33" t="s">
        <v>57</v>
      </c>
      <c r="F33" t="s">
        <v>198</v>
      </c>
      <c r="G33">
        <v>3</v>
      </c>
    </row>
    <row r="34" spans="1:7" x14ac:dyDescent="0.2">
      <c r="A34" t="s">
        <v>14</v>
      </c>
      <c r="B34" t="s">
        <v>55</v>
      </c>
      <c r="C34" s="15">
        <v>0.54017999999999999</v>
      </c>
      <c r="D34" s="2">
        <v>4487.87039299147</v>
      </c>
      <c r="E34" t="s">
        <v>55</v>
      </c>
      <c r="F34" t="s">
        <v>195</v>
      </c>
      <c r="G34">
        <v>4</v>
      </c>
    </row>
    <row r="35" spans="1:7" x14ac:dyDescent="0.2">
      <c r="A35" t="s">
        <v>14</v>
      </c>
      <c r="B35" t="s">
        <v>61</v>
      </c>
      <c r="C35" s="15">
        <v>5.2999999999999998E-4</v>
      </c>
      <c r="D35" s="2">
        <v>3380.2802024294001</v>
      </c>
      <c r="E35" t="s">
        <v>61</v>
      </c>
      <c r="F35" t="s">
        <v>202</v>
      </c>
      <c r="G35">
        <v>5</v>
      </c>
    </row>
    <row r="36" spans="1:7" x14ac:dyDescent="0.2">
      <c r="A36" t="s">
        <v>14</v>
      </c>
      <c r="B36" t="s">
        <v>58</v>
      </c>
      <c r="C36" s="15">
        <v>8.4099999999999994E-2</v>
      </c>
      <c r="D36" s="2">
        <v>1343.78786405807</v>
      </c>
      <c r="E36" t="s">
        <v>58</v>
      </c>
      <c r="F36" t="s">
        <v>199</v>
      </c>
      <c r="G36">
        <v>6</v>
      </c>
    </row>
    <row r="37" spans="1:7" x14ac:dyDescent="0.2">
      <c r="A37" t="s">
        <v>14</v>
      </c>
      <c r="B37" t="s">
        <v>63</v>
      </c>
      <c r="C37" s="15">
        <v>0.63614000000000004</v>
      </c>
      <c r="D37" s="2">
        <v>2728.2269461251799</v>
      </c>
      <c r="E37" t="s">
        <v>63</v>
      </c>
      <c r="F37" t="s">
        <v>204</v>
      </c>
      <c r="G37">
        <v>7</v>
      </c>
    </row>
    <row r="38" spans="1:7" x14ac:dyDescent="0.2">
      <c r="A38" t="s">
        <v>14</v>
      </c>
      <c r="B38" t="s">
        <v>60</v>
      </c>
      <c r="C38" s="15">
        <v>4.0000000000000003E-5</v>
      </c>
      <c r="D38" s="2">
        <v>516.51270319792798</v>
      </c>
      <c r="E38" t="s">
        <v>60</v>
      </c>
      <c r="F38" t="s">
        <v>201</v>
      </c>
      <c r="G38">
        <v>8</v>
      </c>
    </row>
    <row r="39" spans="1:7" x14ac:dyDescent="0.2">
      <c r="A39" t="s">
        <v>14</v>
      </c>
      <c r="B39" t="s">
        <v>62</v>
      </c>
      <c r="C39" s="15">
        <v>1.2659999999999999E-2</v>
      </c>
      <c r="D39" s="2">
        <v>3200.9885634191301</v>
      </c>
      <c r="E39" t="s">
        <v>62</v>
      </c>
      <c r="F39" t="s">
        <v>203</v>
      </c>
      <c r="G39">
        <v>9</v>
      </c>
    </row>
    <row r="40" spans="1:7" x14ac:dyDescent="0.2">
      <c r="A40" t="s">
        <v>14</v>
      </c>
      <c r="B40" t="s">
        <v>59</v>
      </c>
      <c r="C40" s="15">
        <v>7.3299999999999997E-3</v>
      </c>
      <c r="D40" s="2">
        <v>1004.25693800316</v>
      </c>
      <c r="E40" t="s">
        <v>59</v>
      </c>
      <c r="F40" t="s">
        <v>200</v>
      </c>
      <c r="G40">
        <v>10</v>
      </c>
    </row>
  </sheetData>
  <sortState xmlns:xlrd2="http://schemas.microsoft.com/office/spreadsheetml/2017/richdata2" ref="A30:G40">
    <sortCondition ref="G30:G40"/>
  </sortState>
  <conditionalFormatting sqref="B30:B40">
    <cfRule type="cellIs" dxfId="4" priority="2" operator="lessThan">
      <formula>0.05</formula>
    </cfRule>
  </conditionalFormatting>
  <conditionalFormatting sqref="C30:C40">
    <cfRule type="cellIs" dxfId="3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CDA0-60A2-9A4F-A861-5E644549F523}">
  <dimension ref="A1:G11"/>
  <sheetViews>
    <sheetView workbookViewId="0">
      <selection activeCell="E15" sqref="E15"/>
    </sheetView>
  </sheetViews>
  <sheetFormatPr baseColWidth="10" defaultRowHeight="16" x14ac:dyDescent="0.2"/>
  <cols>
    <col min="1" max="1" width="42.6640625" style="2" customWidth="1"/>
    <col min="2" max="2" width="16.83203125" style="2" customWidth="1"/>
    <col min="3" max="3" width="15.83203125" style="2" customWidth="1"/>
    <col min="4" max="4" width="16.1640625" style="2" customWidth="1"/>
    <col min="5" max="5" width="16" style="2" customWidth="1"/>
    <col min="6" max="6" width="18.1640625" style="2" customWidth="1"/>
    <col min="7" max="7" width="25.5" style="2" customWidth="1"/>
    <col min="8" max="16384" width="10.83203125" style="2"/>
  </cols>
  <sheetData>
    <row r="1" spans="1:7" x14ac:dyDescent="0.2">
      <c r="A1" s="2" t="s">
        <v>9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</row>
    <row r="2" spans="1:7" x14ac:dyDescent="0.2">
      <c r="A2" t="s">
        <v>64</v>
      </c>
      <c r="B2">
        <v>1828</v>
      </c>
      <c r="C2">
        <v>2234</v>
      </c>
      <c r="D2" s="2">
        <v>81.826320501342906</v>
      </c>
      <c r="E2">
        <v>1908</v>
      </c>
      <c r="F2">
        <v>326</v>
      </c>
      <c r="G2" s="2">
        <v>14.592658907788699</v>
      </c>
    </row>
    <row r="3" spans="1:7" x14ac:dyDescent="0.2">
      <c r="A3" t="s">
        <v>56</v>
      </c>
      <c r="B3">
        <v>2110</v>
      </c>
      <c r="C3">
        <v>2234</v>
      </c>
      <c r="D3" s="2">
        <v>94.449418084154004</v>
      </c>
      <c r="E3">
        <v>2298</v>
      </c>
      <c r="F3">
        <v>-64</v>
      </c>
      <c r="G3" s="2">
        <v>-2.8648164726947201</v>
      </c>
    </row>
    <row r="4" spans="1:7" x14ac:dyDescent="0.2">
      <c r="A4" t="s">
        <v>57</v>
      </c>
      <c r="B4">
        <v>653</v>
      </c>
      <c r="C4">
        <v>2234</v>
      </c>
      <c r="D4" s="2">
        <v>29.230080572963299</v>
      </c>
      <c r="E4">
        <v>697</v>
      </c>
      <c r="F4">
        <v>1537</v>
      </c>
      <c r="G4" s="2">
        <v>68.800358102059107</v>
      </c>
    </row>
    <row r="5" spans="1:7" x14ac:dyDescent="0.2">
      <c r="A5" t="s">
        <v>55</v>
      </c>
      <c r="B5">
        <v>2143</v>
      </c>
      <c r="C5">
        <v>2234</v>
      </c>
      <c r="D5" s="2">
        <v>95.926589077887201</v>
      </c>
      <c r="E5">
        <v>2256</v>
      </c>
      <c r="F5">
        <v>-22</v>
      </c>
      <c r="G5" s="2">
        <v>-0.98478066248880902</v>
      </c>
    </row>
    <row r="6" spans="1:7" x14ac:dyDescent="0.2">
      <c r="A6" t="s">
        <v>61</v>
      </c>
      <c r="B6">
        <v>1473</v>
      </c>
      <c r="C6">
        <v>2234</v>
      </c>
      <c r="D6" s="2">
        <v>65.935541629364394</v>
      </c>
      <c r="E6">
        <v>1596</v>
      </c>
      <c r="F6">
        <v>638</v>
      </c>
      <c r="G6" s="2">
        <v>28.5586392121755</v>
      </c>
    </row>
    <row r="7" spans="1:7" x14ac:dyDescent="0.2">
      <c r="A7" t="s">
        <v>58</v>
      </c>
      <c r="B7">
        <v>781</v>
      </c>
      <c r="C7">
        <v>2234</v>
      </c>
      <c r="D7" s="2">
        <v>34.9597135183527</v>
      </c>
      <c r="E7">
        <v>842</v>
      </c>
      <c r="F7">
        <v>1392</v>
      </c>
      <c r="G7" s="2">
        <v>62.309758281110099</v>
      </c>
    </row>
    <row r="8" spans="1:7" x14ac:dyDescent="0.2">
      <c r="A8" t="s">
        <v>63</v>
      </c>
      <c r="B8">
        <v>1247</v>
      </c>
      <c r="C8">
        <v>2234</v>
      </c>
      <c r="D8" s="2">
        <v>55.819158460161098</v>
      </c>
      <c r="E8">
        <v>1325</v>
      </c>
      <c r="F8">
        <v>909</v>
      </c>
      <c r="G8" s="2">
        <v>40.689346463742197</v>
      </c>
    </row>
    <row r="9" spans="1:7" x14ac:dyDescent="0.2">
      <c r="A9" t="s">
        <v>60</v>
      </c>
      <c r="B9">
        <v>650</v>
      </c>
      <c r="C9">
        <v>2234</v>
      </c>
      <c r="D9" s="2">
        <v>29.095792300805702</v>
      </c>
      <c r="E9">
        <v>696</v>
      </c>
      <c r="F9">
        <v>1538</v>
      </c>
      <c r="G9" s="2">
        <v>68.845120859444904</v>
      </c>
    </row>
    <row r="10" spans="1:7" x14ac:dyDescent="0.2">
      <c r="A10" t="s">
        <v>62</v>
      </c>
      <c r="B10">
        <v>1421</v>
      </c>
      <c r="C10">
        <v>2234</v>
      </c>
      <c r="D10" s="2">
        <v>63.607878245299901</v>
      </c>
      <c r="E10">
        <v>1522</v>
      </c>
      <c r="F10">
        <v>712</v>
      </c>
      <c r="G10" s="2">
        <v>31.871083258728699</v>
      </c>
    </row>
    <row r="11" spans="1:7" x14ac:dyDescent="0.2">
      <c r="A11" t="s">
        <v>59</v>
      </c>
      <c r="B11">
        <v>418</v>
      </c>
      <c r="C11">
        <v>2234</v>
      </c>
      <c r="D11" s="2">
        <v>18.710832587287399</v>
      </c>
      <c r="E11">
        <v>421</v>
      </c>
      <c r="F11">
        <v>1813</v>
      </c>
      <c r="G11" s="2">
        <v>81.154879140555096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9A4D-DB7D-4B4F-92AB-5D7F37DE3A48}">
  <dimension ref="A1:J42"/>
  <sheetViews>
    <sheetView topLeftCell="A14" workbookViewId="0">
      <selection activeCell="A29" sqref="A29:I40"/>
    </sheetView>
  </sheetViews>
  <sheetFormatPr baseColWidth="10" defaultRowHeight="16" x14ac:dyDescent="0.2"/>
  <cols>
    <col min="1" max="1" width="33.6640625" customWidth="1"/>
    <col min="2" max="3" width="26.5" customWidth="1"/>
    <col min="4" max="4" width="23.6640625" customWidth="1"/>
    <col min="5" max="5" width="20.1640625" style="1" customWidth="1"/>
    <col min="6" max="6" width="23.1640625" customWidth="1"/>
    <col min="8" max="8" width="27" customWidth="1"/>
    <col min="9" max="9" width="25" customWidth="1"/>
  </cols>
  <sheetData>
    <row r="1" spans="1:10" x14ac:dyDescent="0.2">
      <c r="A1" t="s">
        <v>9</v>
      </c>
      <c r="B1" t="s">
        <v>10</v>
      </c>
      <c r="D1" t="s">
        <v>31</v>
      </c>
      <c r="E1" t="s">
        <v>11</v>
      </c>
      <c r="F1" s="1" t="s">
        <v>32</v>
      </c>
      <c r="G1" s="1" t="s">
        <v>30</v>
      </c>
    </row>
    <row r="2" spans="1:10" x14ac:dyDescent="0.2">
      <c r="A2" t="s">
        <v>2</v>
      </c>
      <c r="B2" s="2">
        <v>48.076923076923102</v>
      </c>
      <c r="C2">
        <v>325</v>
      </c>
      <c r="D2" t="s">
        <v>7</v>
      </c>
      <c r="E2" s="2">
        <v>56.8047337278106</v>
      </c>
      <c r="F2">
        <v>384</v>
      </c>
      <c r="G2" s="1"/>
      <c r="H2" s="2" t="str">
        <f>CONCATENATE( " ", "(",C2, ")")</f>
        <v xml:space="preserve"> (325)</v>
      </c>
      <c r="I2" s="2" t="str">
        <f>CONCATENATE( " ", "(",F2, ")")</f>
        <v xml:space="preserve"> (384)</v>
      </c>
      <c r="J2" s="2"/>
    </row>
    <row r="3" spans="1:10" x14ac:dyDescent="0.2">
      <c r="A3" t="s">
        <v>64</v>
      </c>
      <c r="B3" s="2">
        <v>45.941807044410403</v>
      </c>
      <c r="C3">
        <v>300</v>
      </c>
      <c r="D3" s="2">
        <f>B3-$B$2</f>
        <v>-2.1351160325126983</v>
      </c>
      <c r="E3" s="2">
        <v>55.895865237366003</v>
      </c>
      <c r="F3">
        <v>365</v>
      </c>
      <c r="G3" s="2">
        <f>E3-$E$2</f>
        <v>-0.90886849044459694</v>
      </c>
      <c r="H3" s="2" t="str">
        <f t="shared" ref="H3:H12" si="0">CONCATENATE( " ", "(",C3, ")")</f>
        <v xml:space="preserve"> (300)</v>
      </c>
      <c r="I3" s="2" t="str">
        <f t="shared" ref="I3:I12" si="1">CONCATENATE( " ", "(",F3, ")")</f>
        <v xml:space="preserve"> (365)</v>
      </c>
      <c r="J3" s="2"/>
    </row>
    <row r="4" spans="1:10" x14ac:dyDescent="0.2">
      <c r="A4" t="s">
        <v>56</v>
      </c>
      <c r="B4" s="2">
        <v>49.177631578947398</v>
      </c>
      <c r="C4">
        <v>299</v>
      </c>
      <c r="D4" s="2">
        <f t="shared" ref="D4:D12" si="2">B4-$B$2</f>
        <v>1.1007085020242968</v>
      </c>
      <c r="E4" s="2">
        <v>56.414473684210499</v>
      </c>
      <c r="F4">
        <v>343</v>
      </c>
      <c r="G4" s="2">
        <f t="shared" ref="G4:G12" si="3">E4-$E$2</f>
        <v>-0.39026004360010091</v>
      </c>
      <c r="H4" s="2" t="str">
        <f t="shared" si="0"/>
        <v xml:space="preserve"> (299)</v>
      </c>
      <c r="I4" s="2" t="str">
        <f t="shared" si="1"/>
        <v xml:space="preserve"> (343)</v>
      </c>
      <c r="J4" s="2"/>
    </row>
    <row r="5" spans="1:10" x14ac:dyDescent="0.2">
      <c r="A5" t="s">
        <v>57</v>
      </c>
      <c r="B5" s="2">
        <v>36.071428571428598</v>
      </c>
      <c r="C5">
        <v>202</v>
      </c>
      <c r="D5" s="2">
        <f t="shared" si="2"/>
        <v>-12.005494505494504</v>
      </c>
      <c r="E5" s="2">
        <v>68.035714285714306</v>
      </c>
      <c r="F5">
        <v>381</v>
      </c>
      <c r="G5" s="2">
        <f t="shared" si="3"/>
        <v>11.230980557903706</v>
      </c>
      <c r="H5" s="2" t="str">
        <f t="shared" si="0"/>
        <v xml:space="preserve"> (202)</v>
      </c>
      <c r="I5" s="2" t="str">
        <f t="shared" si="1"/>
        <v xml:space="preserve"> (381)</v>
      </c>
      <c r="J5" s="2"/>
    </row>
    <row r="6" spans="1:10" x14ac:dyDescent="0.2">
      <c r="A6" t="s">
        <v>55</v>
      </c>
      <c r="B6" s="2">
        <v>48.517940717628697</v>
      </c>
      <c r="C6">
        <v>311</v>
      </c>
      <c r="D6" s="2">
        <f t="shared" si="2"/>
        <v>0.44101764070559568</v>
      </c>
      <c r="E6" s="2">
        <v>56.474258970358797</v>
      </c>
      <c r="F6">
        <v>362</v>
      </c>
      <c r="G6" s="2">
        <f t="shared" si="3"/>
        <v>-0.33047475745180321</v>
      </c>
      <c r="H6" s="2" t="str">
        <f t="shared" si="0"/>
        <v xml:space="preserve"> (311)</v>
      </c>
      <c r="I6" s="2" t="str">
        <f t="shared" si="1"/>
        <v xml:space="preserve"> (362)</v>
      </c>
      <c r="J6" s="2"/>
    </row>
    <row r="7" spans="1:10" x14ac:dyDescent="0.2">
      <c r="A7" t="s">
        <v>61</v>
      </c>
      <c r="B7" s="2">
        <v>41.240310077519403</v>
      </c>
      <c r="C7">
        <v>266</v>
      </c>
      <c r="D7" s="2">
        <f t="shared" si="2"/>
        <v>-6.8366129994036982</v>
      </c>
      <c r="E7" s="2">
        <v>64.341085271317795</v>
      </c>
      <c r="F7">
        <v>415</v>
      </c>
      <c r="G7" s="2">
        <f t="shared" si="3"/>
        <v>7.5363515435071946</v>
      </c>
      <c r="H7" s="2" t="str">
        <f t="shared" si="0"/>
        <v xml:space="preserve"> (266)</v>
      </c>
      <c r="I7" s="2" t="str">
        <f t="shared" si="1"/>
        <v xml:space="preserve"> (415)</v>
      </c>
      <c r="J7" s="2"/>
    </row>
    <row r="8" spans="1:10" x14ac:dyDescent="0.2">
      <c r="A8" t="s">
        <v>58</v>
      </c>
      <c r="B8" s="2">
        <v>37.543859649122801</v>
      </c>
      <c r="C8">
        <v>214</v>
      </c>
      <c r="D8" s="2">
        <f t="shared" si="2"/>
        <v>-10.5330634278003</v>
      </c>
      <c r="E8" s="2">
        <v>68.421052631578902</v>
      </c>
      <c r="F8">
        <v>390</v>
      </c>
      <c r="G8" s="2">
        <f t="shared" si="3"/>
        <v>11.616318903768303</v>
      </c>
      <c r="H8" s="2" t="str">
        <f t="shared" si="0"/>
        <v xml:space="preserve"> (214)</v>
      </c>
      <c r="I8" s="2" t="str">
        <f t="shared" si="1"/>
        <v xml:space="preserve"> (390)</v>
      </c>
    </row>
    <row r="9" spans="1:10" x14ac:dyDescent="0.2">
      <c r="A9" t="s">
        <v>63</v>
      </c>
      <c r="B9" s="2">
        <v>42.723004694835701</v>
      </c>
      <c r="C9">
        <v>273</v>
      </c>
      <c r="D9" s="2">
        <f t="shared" si="2"/>
        <v>-5.3539183820874001</v>
      </c>
      <c r="E9" s="2">
        <v>64.632237871674505</v>
      </c>
      <c r="F9">
        <v>413</v>
      </c>
      <c r="G9" s="2">
        <f t="shared" si="3"/>
        <v>7.827504143863905</v>
      </c>
      <c r="H9" s="2" t="str">
        <f t="shared" si="0"/>
        <v xml:space="preserve"> (273)</v>
      </c>
      <c r="I9" s="2" t="str">
        <f t="shared" si="1"/>
        <v xml:space="preserve"> (413)</v>
      </c>
    </row>
    <row r="10" spans="1:10" x14ac:dyDescent="0.2">
      <c r="A10" t="s">
        <v>60</v>
      </c>
      <c r="B10" s="2">
        <v>30.127041742286799</v>
      </c>
      <c r="C10">
        <v>166</v>
      </c>
      <c r="D10" s="2">
        <f t="shared" si="2"/>
        <v>-17.949881334636302</v>
      </c>
      <c r="E10" s="2">
        <v>65.880217785843897</v>
      </c>
      <c r="F10">
        <v>363</v>
      </c>
      <c r="G10" s="2">
        <f t="shared" si="3"/>
        <v>9.0754840580332967</v>
      </c>
      <c r="H10" s="2" t="str">
        <f t="shared" si="0"/>
        <v xml:space="preserve"> (166)</v>
      </c>
      <c r="I10" s="2" t="str">
        <f t="shared" si="1"/>
        <v xml:space="preserve"> (363)</v>
      </c>
    </row>
    <row r="11" spans="1:10" x14ac:dyDescent="0.2">
      <c r="A11" t="s">
        <v>62</v>
      </c>
      <c r="B11" s="2">
        <v>41.049382716049401</v>
      </c>
      <c r="C11">
        <v>266</v>
      </c>
      <c r="D11" s="2">
        <f t="shared" si="2"/>
        <v>-7.0275403608737008</v>
      </c>
      <c r="E11" s="2">
        <v>64.351851851851805</v>
      </c>
      <c r="F11">
        <v>417</v>
      </c>
      <c r="G11" s="2">
        <f t="shared" si="3"/>
        <v>7.5471181240412051</v>
      </c>
      <c r="H11" s="2" t="str">
        <f t="shared" si="0"/>
        <v xml:space="preserve"> (266)</v>
      </c>
      <c r="I11" s="2" t="str">
        <f t="shared" si="1"/>
        <v xml:space="preserve"> (417)</v>
      </c>
    </row>
    <row r="12" spans="1:10" x14ac:dyDescent="0.2">
      <c r="A12" t="s">
        <v>59</v>
      </c>
      <c r="B12" s="2">
        <v>33.217993079584801</v>
      </c>
      <c r="C12">
        <v>192</v>
      </c>
      <c r="D12" s="2">
        <f t="shared" si="2"/>
        <v>-14.858929997338301</v>
      </c>
      <c r="E12" s="2">
        <v>66.955017301038097</v>
      </c>
      <c r="F12">
        <v>387</v>
      </c>
      <c r="G12" s="2">
        <f t="shared" si="3"/>
        <v>10.150283573227497</v>
      </c>
      <c r="H12" s="2" t="str">
        <f t="shared" si="0"/>
        <v xml:space="preserve"> (192)</v>
      </c>
      <c r="I12" s="2" t="str">
        <f t="shared" si="1"/>
        <v xml:space="preserve"> (387)</v>
      </c>
    </row>
    <row r="16" spans="1:10" x14ac:dyDescent="0.2">
      <c r="A16" t="s">
        <v>29</v>
      </c>
      <c r="B16" t="s">
        <v>94</v>
      </c>
      <c r="C16" t="s">
        <v>95</v>
      </c>
      <c r="D16" t="s">
        <v>96</v>
      </c>
      <c r="E16" t="s">
        <v>97</v>
      </c>
      <c r="F16" t="s">
        <v>98</v>
      </c>
      <c r="G16" t="s">
        <v>95</v>
      </c>
      <c r="H16" t="s">
        <v>96</v>
      </c>
      <c r="I16" t="s">
        <v>97</v>
      </c>
    </row>
    <row r="17" spans="1:10" x14ac:dyDescent="0.2">
      <c r="A17" t="s">
        <v>2</v>
      </c>
      <c r="B17" t="s">
        <v>93</v>
      </c>
      <c r="C17">
        <v>325</v>
      </c>
      <c r="D17">
        <v>676</v>
      </c>
      <c r="E17" s="2">
        <v>48.076923076923102</v>
      </c>
      <c r="F17" t="s">
        <v>93</v>
      </c>
      <c r="G17">
        <v>384</v>
      </c>
      <c r="H17">
        <v>676</v>
      </c>
      <c r="I17" s="2">
        <v>56.8047337278106</v>
      </c>
      <c r="J17">
        <v>1</v>
      </c>
    </row>
    <row r="18" spans="1:10" x14ac:dyDescent="0.2">
      <c r="A18" t="s">
        <v>64</v>
      </c>
      <c r="B18" t="s">
        <v>93</v>
      </c>
      <c r="C18">
        <v>300</v>
      </c>
      <c r="D18">
        <v>653</v>
      </c>
      <c r="E18" s="2">
        <v>45.941807044410403</v>
      </c>
      <c r="F18" t="s">
        <v>93</v>
      </c>
      <c r="G18">
        <v>365</v>
      </c>
      <c r="H18">
        <v>653</v>
      </c>
      <c r="I18" s="2">
        <v>55.895865237366003</v>
      </c>
      <c r="J18">
        <v>2</v>
      </c>
    </row>
    <row r="19" spans="1:10" x14ac:dyDescent="0.2">
      <c r="A19" t="s">
        <v>56</v>
      </c>
      <c r="B19" t="s">
        <v>93</v>
      </c>
      <c r="C19">
        <v>299</v>
      </c>
      <c r="D19">
        <v>608</v>
      </c>
      <c r="E19" s="2">
        <v>49.177631578947398</v>
      </c>
      <c r="F19" t="s">
        <v>93</v>
      </c>
      <c r="G19">
        <v>343</v>
      </c>
      <c r="H19">
        <v>608</v>
      </c>
      <c r="I19" s="2">
        <v>56.414473684210499</v>
      </c>
      <c r="J19">
        <v>3</v>
      </c>
    </row>
    <row r="20" spans="1:10" x14ac:dyDescent="0.2">
      <c r="A20" t="s">
        <v>57</v>
      </c>
      <c r="B20" t="s">
        <v>93</v>
      </c>
      <c r="C20">
        <v>202</v>
      </c>
      <c r="D20">
        <v>560</v>
      </c>
      <c r="E20" s="2">
        <v>36.071428571428598</v>
      </c>
      <c r="F20" t="s">
        <v>93</v>
      </c>
      <c r="G20">
        <v>381</v>
      </c>
      <c r="H20">
        <v>560</v>
      </c>
      <c r="I20" s="2">
        <v>68.035714285714306</v>
      </c>
      <c r="J20">
        <v>4</v>
      </c>
    </row>
    <row r="21" spans="1:10" x14ac:dyDescent="0.2">
      <c r="A21" t="s">
        <v>55</v>
      </c>
      <c r="B21" t="s">
        <v>93</v>
      </c>
      <c r="C21">
        <v>311</v>
      </c>
      <c r="D21">
        <v>641</v>
      </c>
      <c r="E21" s="2">
        <v>48.517940717628697</v>
      </c>
      <c r="F21" t="s">
        <v>93</v>
      </c>
      <c r="G21">
        <v>362</v>
      </c>
      <c r="H21">
        <v>641</v>
      </c>
      <c r="I21" s="2">
        <v>56.474258970358797</v>
      </c>
      <c r="J21">
        <v>5</v>
      </c>
    </row>
    <row r="22" spans="1:10" x14ac:dyDescent="0.2">
      <c r="A22" t="s">
        <v>61</v>
      </c>
      <c r="B22" t="s">
        <v>93</v>
      </c>
      <c r="C22">
        <v>266</v>
      </c>
      <c r="D22">
        <v>645</v>
      </c>
      <c r="E22" s="2">
        <v>41.240310077519403</v>
      </c>
      <c r="F22" t="s">
        <v>93</v>
      </c>
      <c r="G22">
        <v>415</v>
      </c>
      <c r="H22">
        <v>645</v>
      </c>
      <c r="I22" s="2">
        <v>64.341085271317795</v>
      </c>
      <c r="J22">
        <v>6</v>
      </c>
    </row>
    <row r="23" spans="1:10" x14ac:dyDescent="0.2">
      <c r="A23" t="s">
        <v>58</v>
      </c>
      <c r="B23" t="s">
        <v>93</v>
      </c>
      <c r="C23">
        <v>214</v>
      </c>
      <c r="D23">
        <v>570</v>
      </c>
      <c r="E23" s="2">
        <v>37.543859649122801</v>
      </c>
      <c r="F23" t="s">
        <v>93</v>
      </c>
      <c r="G23">
        <v>390</v>
      </c>
      <c r="H23">
        <v>570</v>
      </c>
      <c r="I23" s="2">
        <v>68.421052631578902</v>
      </c>
      <c r="J23">
        <v>7</v>
      </c>
    </row>
    <row r="24" spans="1:10" x14ac:dyDescent="0.2">
      <c r="A24" t="s">
        <v>63</v>
      </c>
      <c r="B24" t="s">
        <v>93</v>
      </c>
      <c r="C24">
        <v>273</v>
      </c>
      <c r="D24">
        <v>639</v>
      </c>
      <c r="E24" s="2">
        <v>42.723004694835701</v>
      </c>
      <c r="F24" t="s">
        <v>93</v>
      </c>
      <c r="G24">
        <v>413</v>
      </c>
      <c r="H24">
        <v>639</v>
      </c>
      <c r="I24" s="2">
        <v>64.632237871674505</v>
      </c>
      <c r="J24">
        <v>8</v>
      </c>
    </row>
    <row r="25" spans="1:10" x14ac:dyDescent="0.2">
      <c r="A25" t="s">
        <v>60</v>
      </c>
      <c r="B25" t="s">
        <v>93</v>
      </c>
      <c r="C25">
        <v>166</v>
      </c>
      <c r="D25">
        <v>551</v>
      </c>
      <c r="E25" s="2">
        <v>30.127041742286799</v>
      </c>
      <c r="F25" t="s">
        <v>93</v>
      </c>
      <c r="G25">
        <v>363</v>
      </c>
      <c r="H25">
        <v>551</v>
      </c>
      <c r="I25" s="2">
        <v>65.880217785843897</v>
      </c>
      <c r="J25">
        <v>9</v>
      </c>
    </row>
    <row r="26" spans="1:10" x14ac:dyDescent="0.2">
      <c r="A26" t="s">
        <v>62</v>
      </c>
      <c r="B26" t="s">
        <v>93</v>
      </c>
      <c r="C26">
        <v>266</v>
      </c>
      <c r="D26">
        <v>648</v>
      </c>
      <c r="E26" s="2">
        <v>41.049382716049401</v>
      </c>
      <c r="F26" t="s">
        <v>93</v>
      </c>
      <c r="G26">
        <v>417</v>
      </c>
      <c r="H26">
        <v>648</v>
      </c>
      <c r="I26" s="2">
        <v>64.351851851851805</v>
      </c>
      <c r="J26">
        <v>10</v>
      </c>
    </row>
    <row r="27" spans="1:10" x14ac:dyDescent="0.2">
      <c r="A27" t="s">
        <v>59</v>
      </c>
      <c r="B27" t="s">
        <v>93</v>
      </c>
      <c r="C27">
        <v>192</v>
      </c>
      <c r="D27">
        <v>578</v>
      </c>
      <c r="E27" s="2">
        <v>33.217993079584801</v>
      </c>
      <c r="F27" t="s">
        <v>93</v>
      </c>
      <c r="G27">
        <v>387</v>
      </c>
      <c r="H27">
        <v>578</v>
      </c>
      <c r="I27" s="2">
        <v>66.955017301038097</v>
      </c>
      <c r="J27">
        <v>11</v>
      </c>
    </row>
    <row r="29" spans="1:10" x14ac:dyDescent="0.2">
      <c r="B29" t="s">
        <v>10</v>
      </c>
      <c r="C29" t="s">
        <v>206</v>
      </c>
      <c r="D29" t="s">
        <v>207</v>
      </c>
      <c r="E29" t="s">
        <v>11</v>
      </c>
      <c r="F29" s="1" t="s">
        <v>32</v>
      </c>
      <c r="G29" s="1" t="s">
        <v>207</v>
      </c>
    </row>
    <row r="30" spans="1:10" x14ac:dyDescent="0.2">
      <c r="A30" t="s">
        <v>2</v>
      </c>
      <c r="B30" s="2">
        <v>52.551477170993699</v>
      </c>
      <c r="C30">
        <v>1174</v>
      </c>
      <c r="D30" s="2"/>
      <c r="E30" s="2">
        <v>55.147717099373303</v>
      </c>
      <c r="F30">
        <v>1232</v>
      </c>
      <c r="G30" s="2"/>
      <c r="H30" s="2" t="str">
        <f>CONCATENATE( " ", "(",C30, ")")</f>
        <v xml:space="preserve"> (1174)</v>
      </c>
      <c r="I30" s="2" t="str">
        <f>CONCATENATE( " ", "(",F30, ")")</f>
        <v xml:space="preserve"> (1232)</v>
      </c>
      <c r="J30">
        <v>0</v>
      </c>
    </row>
    <row r="31" spans="1:10" x14ac:dyDescent="0.2">
      <c r="A31" t="s">
        <v>64</v>
      </c>
      <c r="B31" s="2">
        <v>49.737945492662497</v>
      </c>
      <c r="C31">
        <v>949</v>
      </c>
      <c r="D31" s="2">
        <v>80.834752981260607</v>
      </c>
      <c r="E31" s="2">
        <v>54.926624737945502</v>
      </c>
      <c r="F31">
        <v>1048</v>
      </c>
      <c r="G31" s="16">
        <v>85.0649351</v>
      </c>
      <c r="H31" s="2" t="str">
        <f>CONCATENATE( " ", "(",C31, ")")</f>
        <v xml:space="preserve"> (949)</v>
      </c>
      <c r="I31" s="2" t="str">
        <f>CONCATENATE( " ", "(",F31, ")")</f>
        <v xml:space="preserve"> (1048)</v>
      </c>
      <c r="J31">
        <v>1</v>
      </c>
    </row>
    <row r="32" spans="1:10" x14ac:dyDescent="0.2">
      <c r="A32" t="s">
        <v>56</v>
      </c>
      <c r="B32" s="2">
        <v>51.305483028720602</v>
      </c>
      <c r="C32">
        <v>1179</v>
      </c>
      <c r="D32" s="2">
        <v>100.425894378194</v>
      </c>
      <c r="E32" s="2">
        <v>53.959965187119202</v>
      </c>
      <c r="F32">
        <v>1240</v>
      </c>
      <c r="G32" s="16">
        <v>100.649351</v>
      </c>
      <c r="H32" s="2" t="str">
        <f>CONCATENATE( " ", "(",C32, ")")</f>
        <v xml:space="preserve"> (1179)</v>
      </c>
      <c r="I32" s="2" t="str">
        <f>CONCATENATE( " ", "(",F32, ")")</f>
        <v xml:space="preserve"> (1240)</v>
      </c>
      <c r="J32">
        <v>2</v>
      </c>
    </row>
    <row r="33" spans="1:10" x14ac:dyDescent="0.2">
      <c r="A33" t="s">
        <v>57</v>
      </c>
      <c r="B33" s="2">
        <v>55.810616929698703</v>
      </c>
      <c r="C33">
        <v>389</v>
      </c>
      <c r="D33" s="2">
        <v>33.134582623509402</v>
      </c>
      <c r="E33" s="2">
        <v>62.553802008608301</v>
      </c>
      <c r="F33">
        <v>436</v>
      </c>
      <c r="G33" s="16">
        <v>35.389610400000002</v>
      </c>
      <c r="H33" s="2" t="str">
        <f>CONCATENATE( " ", "(",C33, ")")</f>
        <v xml:space="preserve"> (389)</v>
      </c>
      <c r="I33" s="2" t="str">
        <f>CONCATENATE( " ", "(",F33, ")")</f>
        <v xml:space="preserve"> (436)</v>
      </c>
      <c r="J33">
        <v>3</v>
      </c>
    </row>
    <row r="34" spans="1:10" x14ac:dyDescent="0.2">
      <c r="A34" t="s">
        <v>55</v>
      </c>
      <c r="B34" s="2">
        <v>51.9503546099291</v>
      </c>
      <c r="C34">
        <v>1172</v>
      </c>
      <c r="D34" s="2">
        <v>99.829642248722294</v>
      </c>
      <c r="E34" s="2">
        <v>54.255319148936202</v>
      </c>
      <c r="F34">
        <v>1224</v>
      </c>
      <c r="G34" s="16">
        <v>99.350649399999995</v>
      </c>
      <c r="H34" s="2" t="str">
        <f>CONCATENATE( " ", "(",C34, ")")</f>
        <v xml:space="preserve"> (1172)</v>
      </c>
      <c r="I34" s="2" t="str">
        <f>CONCATENATE( " ", "(",F34, ")")</f>
        <v xml:space="preserve"> (1224)</v>
      </c>
      <c r="J34">
        <v>4</v>
      </c>
    </row>
    <row r="35" spans="1:10" x14ac:dyDescent="0.2">
      <c r="A35" t="s">
        <v>61</v>
      </c>
      <c r="B35" s="2">
        <v>56.641604010025098</v>
      </c>
      <c r="C35">
        <v>904</v>
      </c>
      <c r="D35" s="2">
        <v>77.001703577512799</v>
      </c>
      <c r="E35" s="2">
        <v>55.3258145363409</v>
      </c>
      <c r="F35">
        <v>883</v>
      </c>
      <c r="G35" s="16">
        <v>71.672077900000005</v>
      </c>
      <c r="H35" s="2" t="str">
        <f>CONCATENATE( " ", "(",C35, ")")</f>
        <v xml:space="preserve"> (904)</v>
      </c>
      <c r="I35" s="2" t="str">
        <f>CONCATENATE( " ", "(",F35, ")")</f>
        <v xml:space="preserve"> (883)</v>
      </c>
      <c r="J35">
        <v>5</v>
      </c>
    </row>
    <row r="36" spans="1:10" x14ac:dyDescent="0.2">
      <c r="A36" t="s">
        <v>58</v>
      </c>
      <c r="B36" s="2">
        <v>58.194774346793402</v>
      </c>
      <c r="C36">
        <v>490</v>
      </c>
      <c r="D36" s="2">
        <v>41.7376490630324</v>
      </c>
      <c r="E36" s="2">
        <v>56.057007125890699</v>
      </c>
      <c r="F36">
        <v>472</v>
      </c>
      <c r="G36" s="16">
        <v>38.3116883</v>
      </c>
      <c r="H36" s="2" t="str">
        <f>CONCATENATE( " ", "(",C36, ")")</f>
        <v xml:space="preserve"> (490)</v>
      </c>
      <c r="I36" s="2" t="str">
        <f>CONCATENATE( " ", "(",F36, ")")</f>
        <v xml:space="preserve"> (472)</v>
      </c>
      <c r="J36">
        <v>6</v>
      </c>
    </row>
    <row r="37" spans="1:10" x14ac:dyDescent="0.2">
      <c r="A37" t="s">
        <v>63</v>
      </c>
      <c r="B37" s="2">
        <v>58.1132075471698</v>
      </c>
      <c r="C37">
        <v>770</v>
      </c>
      <c r="D37" s="2">
        <v>65.587734241907995</v>
      </c>
      <c r="E37" s="2">
        <v>56.754716981132098</v>
      </c>
      <c r="F37">
        <v>752</v>
      </c>
      <c r="G37" s="16">
        <v>61.038961</v>
      </c>
      <c r="H37" s="2" t="str">
        <f>CONCATENATE( " ", "(",C37, ")")</f>
        <v xml:space="preserve"> (770)</v>
      </c>
      <c r="I37" s="2" t="str">
        <f>CONCATENATE( " ", "(",F37, ")")</f>
        <v xml:space="preserve"> (752)</v>
      </c>
      <c r="J37">
        <v>7</v>
      </c>
    </row>
    <row r="38" spans="1:10" x14ac:dyDescent="0.2">
      <c r="A38" t="s">
        <v>60</v>
      </c>
      <c r="B38" s="2">
        <v>41.805225653206598</v>
      </c>
      <c r="C38">
        <v>176</v>
      </c>
      <c r="D38" s="2">
        <v>14.991482112436101</v>
      </c>
      <c r="E38" s="2">
        <v>70.308788598574793</v>
      </c>
      <c r="F38">
        <v>296</v>
      </c>
      <c r="G38" s="16">
        <v>24.025974000000001</v>
      </c>
      <c r="H38" s="2" t="str">
        <f>CONCATENATE( " ", "(",C38, ")")</f>
        <v xml:space="preserve"> (176)</v>
      </c>
      <c r="I38" s="2" t="str">
        <f>CONCATENATE( " ", "(",F38, ")")</f>
        <v xml:space="preserve"> (296)</v>
      </c>
      <c r="J38">
        <v>10</v>
      </c>
    </row>
    <row r="39" spans="1:10" x14ac:dyDescent="0.2">
      <c r="A39" t="s">
        <v>62</v>
      </c>
      <c r="B39" s="2">
        <v>56.833114323258897</v>
      </c>
      <c r="C39">
        <v>865</v>
      </c>
      <c r="D39" s="2">
        <v>73.679727427597996</v>
      </c>
      <c r="E39" s="2">
        <v>56.373193166885699</v>
      </c>
      <c r="F39">
        <v>858</v>
      </c>
      <c r="G39" s="16">
        <v>69.642857100000001</v>
      </c>
      <c r="H39" s="2" t="str">
        <f>CONCATENATE( " ", "(",C39, ")")</f>
        <v xml:space="preserve"> (865)</v>
      </c>
      <c r="I39" s="2" t="str">
        <f>CONCATENATE( " ", "(",F39, ")")</f>
        <v xml:space="preserve"> (858)</v>
      </c>
      <c r="J39">
        <v>8</v>
      </c>
    </row>
    <row r="40" spans="1:10" x14ac:dyDescent="0.2">
      <c r="A40" t="s">
        <v>59</v>
      </c>
      <c r="B40" s="2">
        <v>53.017241379310299</v>
      </c>
      <c r="C40">
        <v>369</v>
      </c>
      <c r="D40" s="2">
        <v>31.431005110732499</v>
      </c>
      <c r="E40" s="2">
        <v>61.494252873563198</v>
      </c>
      <c r="F40">
        <v>428</v>
      </c>
      <c r="G40" s="16">
        <v>34.740259700000003</v>
      </c>
      <c r="H40" s="2" t="str">
        <f>CONCATENATE( " ", "(",C40, ")")</f>
        <v xml:space="preserve"> (369)</v>
      </c>
      <c r="I40" s="2" t="str">
        <f>CONCATENATE( " ", "(",F40, ")")</f>
        <v xml:space="preserve"> (428)</v>
      </c>
      <c r="J40">
        <v>9</v>
      </c>
    </row>
    <row r="42" spans="1:10" x14ac:dyDescent="0.2">
      <c r="E42"/>
      <c r="F42" s="1"/>
      <c r="G42" s="1"/>
    </row>
  </sheetData>
  <sortState xmlns:xlrd2="http://schemas.microsoft.com/office/spreadsheetml/2017/richdata2" ref="A30:J42">
    <sortCondition ref="J31:J4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4764-FF63-B347-962C-1C9E8516FB0D}">
  <dimension ref="A1:I12"/>
  <sheetViews>
    <sheetView tabSelected="1" workbookViewId="0">
      <selection sqref="A1:I12"/>
    </sheetView>
  </sheetViews>
  <sheetFormatPr baseColWidth="10" defaultRowHeight="16" x14ac:dyDescent="0.2"/>
  <cols>
    <col min="1" max="1" width="26.83203125" customWidth="1"/>
    <col min="2" max="2" width="30.83203125" customWidth="1"/>
    <col min="3" max="3" width="23" customWidth="1"/>
    <col min="4" max="4" width="22.33203125" customWidth="1"/>
    <col min="5" max="5" width="24.33203125" customWidth="1"/>
    <col min="6" max="6" width="21.6640625" customWidth="1"/>
    <col min="7" max="7" width="24.1640625" customWidth="1"/>
    <col min="8" max="8" width="24.6640625" customWidth="1"/>
    <col min="9" max="9" width="21" customWidth="1"/>
  </cols>
  <sheetData>
    <row r="1" spans="1:9" x14ac:dyDescent="0.2">
      <c r="A1" t="s">
        <v>29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 spans="1:9" x14ac:dyDescent="0.2">
      <c r="A2" t="s">
        <v>2</v>
      </c>
      <c r="B2" t="s">
        <v>133</v>
      </c>
      <c r="C2" t="s">
        <v>43</v>
      </c>
      <c r="D2" t="s">
        <v>134</v>
      </c>
      <c r="E2" t="s">
        <v>135</v>
      </c>
      <c r="F2" t="s">
        <v>136</v>
      </c>
      <c r="G2" t="s">
        <v>137</v>
      </c>
      <c r="H2" t="s">
        <v>42</v>
      </c>
      <c r="I2" t="s">
        <v>44</v>
      </c>
    </row>
    <row r="3" spans="1:9" x14ac:dyDescent="0.2">
      <c r="A3" t="s">
        <v>64</v>
      </c>
      <c r="B3" t="s">
        <v>133</v>
      </c>
      <c r="C3" t="s">
        <v>138</v>
      </c>
      <c r="D3" t="s">
        <v>139</v>
      </c>
      <c r="E3" t="s">
        <v>140</v>
      </c>
      <c r="F3" t="s">
        <v>141</v>
      </c>
      <c r="G3" t="s">
        <v>142</v>
      </c>
      <c r="H3" t="s">
        <v>143</v>
      </c>
      <c r="I3" t="s">
        <v>144</v>
      </c>
    </row>
    <row r="4" spans="1:9" x14ac:dyDescent="0.2">
      <c r="A4" t="s">
        <v>56</v>
      </c>
      <c r="B4" t="s">
        <v>133</v>
      </c>
      <c r="C4" t="s">
        <v>145</v>
      </c>
      <c r="D4" t="s">
        <v>146</v>
      </c>
      <c r="E4" t="s">
        <v>147</v>
      </c>
      <c r="F4" t="s">
        <v>148</v>
      </c>
      <c r="G4" t="s">
        <v>149</v>
      </c>
      <c r="H4" t="s">
        <v>42</v>
      </c>
      <c r="I4" t="s">
        <v>42</v>
      </c>
    </row>
    <row r="5" spans="1:9" x14ac:dyDescent="0.2">
      <c r="A5" t="s">
        <v>57</v>
      </c>
      <c r="B5" t="s">
        <v>150</v>
      </c>
      <c r="C5" t="s">
        <v>151</v>
      </c>
      <c r="D5" t="s">
        <v>152</v>
      </c>
      <c r="E5" t="s">
        <v>153</v>
      </c>
      <c r="F5" t="s">
        <v>154</v>
      </c>
      <c r="G5" t="s">
        <v>155</v>
      </c>
      <c r="H5" t="s">
        <v>44</v>
      </c>
      <c r="I5" t="s">
        <v>145</v>
      </c>
    </row>
    <row r="6" spans="1:9" x14ac:dyDescent="0.2">
      <c r="A6" t="s">
        <v>55</v>
      </c>
      <c r="B6" t="s">
        <v>100</v>
      </c>
      <c r="C6" t="s">
        <v>144</v>
      </c>
      <c r="D6" t="s">
        <v>156</v>
      </c>
      <c r="E6" t="s">
        <v>157</v>
      </c>
      <c r="F6" t="s">
        <v>158</v>
      </c>
      <c r="G6" t="s">
        <v>159</v>
      </c>
      <c r="H6" t="s">
        <v>42</v>
      </c>
      <c r="I6" t="s">
        <v>42</v>
      </c>
    </row>
    <row r="7" spans="1:9" x14ac:dyDescent="0.2">
      <c r="A7" t="s">
        <v>230</v>
      </c>
      <c r="B7" t="s">
        <v>41</v>
      </c>
      <c r="C7" t="s">
        <v>160</v>
      </c>
      <c r="D7" t="s">
        <v>161</v>
      </c>
      <c r="E7" t="s">
        <v>162</v>
      </c>
      <c r="F7" t="s">
        <v>163</v>
      </c>
      <c r="G7" t="s">
        <v>164</v>
      </c>
      <c r="H7" t="s">
        <v>42</v>
      </c>
      <c r="I7" t="s">
        <v>165</v>
      </c>
    </row>
    <row r="8" spans="1:9" x14ac:dyDescent="0.2">
      <c r="A8" t="s">
        <v>231</v>
      </c>
      <c r="B8" t="s">
        <v>99</v>
      </c>
      <c r="C8" t="s">
        <v>166</v>
      </c>
      <c r="D8" t="s">
        <v>167</v>
      </c>
      <c r="E8" t="s">
        <v>168</v>
      </c>
      <c r="F8" t="s">
        <v>169</v>
      </c>
      <c r="G8" t="s">
        <v>170</v>
      </c>
      <c r="H8" t="s">
        <v>44</v>
      </c>
      <c r="I8" t="s">
        <v>171</v>
      </c>
    </row>
    <row r="9" spans="1:9" x14ac:dyDescent="0.2">
      <c r="A9" t="s">
        <v>232</v>
      </c>
      <c r="B9" t="s">
        <v>101</v>
      </c>
      <c r="C9" t="s">
        <v>150</v>
      </c>
      <c r="D9" t="s">
        <v>172</v>
      </c>
      <c r="E9" t="s">
        <v>173</v>
      </c>
      <c r="F9" t="s">
        <v>174</v>
      </c>
      <c r="G9" t="s">
        <v>175</v>
      </c>
      <c r="H9" t="s">
        <v>42</v>
      </c>
      <c r="I9" t="s">
        <v>176</v>
      </c>
    </row>
    <row r="10" spans="1:9" x14ac:dyDescent="0.2">
      <c r="A10" t="s">
        <v>233</v>
      </c>
      <c r="B10" t="s">
        <v>166</v>
      </c>
      <c r="C10" t="s">
        <v>177</v>
      </c>
      <c r="D10" t="s">
        <v>178</v>
      </c>
      <c r="E10" t="s">
        <v>179</v>
      </c>
      <c r="F10" t="s">
        <v>180</v>
      </c>
      <c r="G10" t="s">
        <v>181</v>
      </c>
      <c r="H10" t="s">
        <v>144</v>
      </c>
      <c r="I10" t="s">
        <v>182</v>
      </c>
    </row>
    <row r="11" spans="1:9" x14ac:dyDescent="0.2">
      <c r="A11" t="s">
        <v>234</v>
      </c>
      <c r="B11" t="s">
        <v>101</v>
      </c>
      <c r="C11" t="s">
        <v>102</v>
      </c>
      <c r="D11" t="s">
        <v>183</v>
      </c>
      <c r="E11" t="s">
        <v>184</v>
      </c>
      <c r="F11" t="s">
        <v>185</v>
      </c>
      <c r="G11" t="s">
        <v>186</v>
      </c>
      <c r="H11" t="s">
        <v>42</v>
      </c>
      <c r="I11" t="s">
        <v>165</v>
      </c>
    </row>
    <row r="12" spans="1:9" x14ac:dyDescent="0.2">
      <c r="A12" t="s">
        <v>235</v>
      </c>
      <c r="B12" t="s">
        <v>187</v>
      </c>
      <c r="C12" t="s">
        <v>188</v>
      </c>
      <c r="D12" t="s">
        <v>189</v>
      </c>
      <c r="E12" t="s">
        <v>190</v>
      </c>
      <c r="F12" t="s">
        <v>191</v>
      </c>
      <c r="G12" t="s">
        <v>192</v>
      </c>
      <c r="H12" t="s">
        <v>44</v>
      </c>
      <c r="I12" t="s">
        <v>193</v>
      </c>
    </row>
  </sheetData>
  <sortState xmlns:xlrd2="http://schemas.microsoft.com/office/spreadsheetml/2017/richdata2" ref="I1:N8">
    <sortCondition ref="N1:N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909F-5A93-0A45-ADA8-6244FE0E89BD}">
  <dimension ref="A1:N100"/>
  <sheetViews>
    <sheetView workbookViewId="0">
      <selection activeCell="E19" sqref="E19"/>
    </sheetView>
  </sheetViews>
  <sheetFormatPr baseColWidth="10" defaultRowHeight="16" x14ac:dyDescent="0.2"/>
  <cols>
    <col min="2" max="2" width="24" customWidth="1"/>
  </cols>
  <sheetData>
    <row r="1" spans="1:9" x14ac:dyDescent="0.2">
      <c r="A1" t="s">
        <v>12</v>
      </c>
      <c r="B1" t="s">
        <v>9</v>
      </c>
      <c r="C1" t="s">
        <v>194</v>
      </c>
      <c r="D1" t="s">
        <v>13</v>
      </c>
    </row>
    <row r="2" spans="1:9" x14ac:dyDescent="0.2">
      <c r="A2" t="s">
        <v>14</v>
      </c>
      <c r="B2" t="s">
        <v>55</v>
      </c>
      <c r="C2">
        <v>0.54017999999999999</v>
      </c>
      <c r="D2">
        <v>4487.87039299147</v>
      </c>
    </row>
    <row r="3" spans="1:9" x14ac:dyDescent="0.2">
      <c r="A3" t="s">
        <v>14</v>
      </c>
      <c r="B3" t="s">
        <v>2</v>
      </c>
      <c r="C3">
        <v>1</v>
      </c>
      <c r="D3">
        <v>4466</v>
      </c>
    </row>
    <row r="4" spans="1:9" x14ac:dyDescent="0.2">
      <c r="A4" t="s">
        <v>14</v>
      </c>
      <c r="B4" t="s">
        <v>56</v>
      </c>
      <c r="C4">
        <v>0.73895999999999995</v>
      </c>
      <c r="D4">
        <v>4529.6513711294801</v>
      </c>
      <c r="I4" s="4"/>
    </row>
    <row r="5" spans="1:9" x14ac:dyDescent="0.2">
      <c r="A5" t="s">
        <v>14</v>
      </c>
      <c r="B5" t="s">
        <v>64</v>
      </c>
      <c r="C5">
        <v>0</v>
      </c>
      <c r="D5">
        <v>4097.5524914761099</v>
      </c>
    </row>
    <row r="6" spans="1:9" x14ac:dyDescent="0.2">
      <c r="A6" t="s">
        <v>14</v>
      </c>
      <c r="B6" t="s">
        <v>62</v>
      </c>
      <c r="C6">
        <v>1.2659999999999999E-2</v>
      </c>
      <c r="D6">
        <v>3200.9885634191301</v>
      </c>
    </row>
    <row r="7" spans="1:9" x14ac:dyDescent="0.2">
      <c r="A7" t="s">
        <v>14</v>
      </c>
      <c r="B7" t="s">
        <v>61</v>
      </c>
      <c r="C7">
        <v>5.2999999999999998E-4</v>
      </c>
      <c r="D7">
        <v>3380.2802024294001</v>
      </c>
      <c r="I7" s="4"/>
    </row>
    <row r="8" spans="1:9" x14ac:dyDescent="0.2">
      <c r="A8" t="s">
        <v>14</v>
      </c>
      <c r="B8" t="s">
        <v>63</v>
      </c>
      <c r="C8">
        <v>0.63614000000000004</v>
      </c>
      <c r="D8">
        <v>2728.2269461251799</v>
      </c>
    </row>
    <row r="9" spans="1:9" x14ac:dyDescent="0.2">
      <c r="A9" t="s">
        <v>14</v>
      </c>
      <c r="B9" t="s">
        <v>60</v>
      </c>
      <c r="C9" s="4">
        <v>4.0000000000000003E-5</v>
      </c>
      <c r="D9">
        <v>516.51270319792798</v>
      </c>
    </row>
    <row r="10" spans="1:9" x14ac:dyDescent="0.2">
      <c r="A10" t="s">
        <v>14</v>
      </c>
      <c r="B10" t="s">
        <v>59</v>
      </c>
      <c r="C10">
        <v>7.3299999999999997E-3</v>
      </c>
      <c r="D10">
        <v>1004.25693800316</v>
      </c>
    </row>
    <row r="11" spans="1:9" x14ac:dyDescent="0.2">
      <c r="A11" t="s">
        <v>14</v>
      </c>
      <c r="B11" t="s">
        <v>57</v>
      </c>
      <c r="C11">
        <v>1.414E-2</v>
      </c>
      <c r="D11">
        <v>997.95514940724604</v>
      </c>
      <c r="I11" s="4"/>
    </row>
    <row r="12" spans="1:9" x14ac:dyDescent="0.2">
      <c r="A12" t="s">
        <v>14</v>
      </c>
      <c r="B12" t="s">
        <v>58</v>
      </c>
      <c r="C12">
        <v>8.4099999999999994E-2</v>
      </c>
      <c r="D12">
        <v>1343.78786405807</v>
      </c>
      <c r="I12" s="4"/>
    </row>
    <row r="13" spans="1:9" x14ac:dyDescent="0.2">
      <c r="A13" t="s">
        <v>15</v>
      </c>
      <c r="B13" t="s">
        <v>55</v>
      </c>
      <c r="C13">
        <v>0.56223000000000001</v>
      </c>
      <c r="D13">
        <v>3556.2552881135798</v>
      </c>
      <c r="I13" s="4"/>
    </row>
    <row r="14" spans="1:9" x14ac:dyDescent="0.2">
      <c r="A14" t="s">
        <v>15</v>
      </c>
      <c r="B14" t="s">
        <v>2</v>
      </c>
      <c r="C14">
        <v>1</v>
      </c>
      <c r="D14">
        <v>3576</v>
      </c>
    </row>
    <row r="15" spans="1:9" x14ac:dyDescent="0.2">
      <c r="A15" t="s">
        <v>15</v>
      </c>
      <c r="B15" t="s">
        <v>56</v>
      </c>
      <c r="C15">
        <v>1.6900000000000001E-3</v>
      </c>
      <c r="D15">
        <v>3582.3580633665201</v>
      </c>
    </row>
    <row r="16" spans="1:9" x14ac:dyDescent="0.2">
      <c r="A16" t="s">
        <v>15</v>
      </c>
      <c r="B16" t="s">
        <v>64</v>
      </c>
      <c r="C16">
        <v>5.0279999999999998E-2</v>
      </c>
      <c r="D16">
        <v>3177.7609234000502</v>
      </c>
      <c r="I16" s="4"/>
    </row>
    <row r="17" spans="1:9" x14ac:dyDescent="0.2">
      <c r="A17" t="s">
        <v>15</v>
      </c>
      <c r="B17" t="s">
        <v>62</v>
      </c>
      <c r="C17">
        <v>0</v>
      </c>
      <c r="D17">
        <v>2645.5796379970502</v>
      </c>
      <c r="I17" s="4"/>
    </row>
    <row r="18" spans="1:9" x14ac:dyDescent="0.2">
      <c r="A18" t="s">
        <v>15</v>
      </c>
      <c r="B18" t="s">
        <v>61</v>
      </c>
      <c r="C18">
        <v>0</v>
      </c>
      <c r="D18">
        <v>2748.2778043370899</v>
      </c>
      <c r="I18" s="4"/>
    </row>
    <row r="19" spans="1:9" x14ac:dyDescent="0.2">
      <c r="A19" t="s">
        <v>15</v>
      </c>
      <c r="B19" t="s">
        <v>63</v>
      </c>
      <c r="C19">
        <v>0</v>
      </c>
      <c r="D19">
        <v>2183.2930725146998</v>
      </c>
    </row>
    <row r="20" spans="1:9" x14ac:dyDescent="0.2">
      <c r="A20" t="s">
        <v>15</v>
      </c>
      <c r="B20" t="s">
        <v>60</v>
      </c>
      <c r="C20">
        <v>0</v>
      </c>
      <c r="D20">
        <v>526.58226321382904</v>
      </c>
    </row>
    <row r="21" spans="1:9" x14ac:dyDescent="0.2">
      <c r="A21" t="s">
        <v>15</v>
      </c>
      <c r="B21" t="s">
        <v>59</v>
      </c>
      <c r="C21">
        <v>0</v>
      </c>
      <c r="D21">
        <v>811.51425589956602</v>
      </c>
      <c r="I21" s="4"/>
    </row>
    <row r="22" spans="1:9" x14ac:dyDescent="0.2">
      <c r="A22" t="s">
        <v>15</v>
      </c>
      <c r="B22" t="s">
        <v>57</v>
      </c>
      <c r="C22">
        <v>0</v>
      </c>
      <c r="D22">
        <v>865.21877856890296</v>
      </c>
      <c r="I22" s="4"/>
    </row>
    <row r="23" spans="1:9" x14ac:dyDescent="0.2">
      <c r="A23" t="s">
        <v>15</v>
      </c>
      <c r="B23" t="s">
        <v>58</v>
      </c>
      <c r="C23">
        <v>0</v>
      </c>
      <c r="D23">
        <v>1043.23138300695</v>
      </c>
    </row>
    <row r="24" spans="1:9" x14ac:dyDescent="0.2">
      <c r="A24" t="s">
        <v>16</v>
      </c>
      <c r="B24" t="s">
        <v>55</v>
      </c>
      <c r="C24">
        <v>0.58870999999999996</v>
      </c>
      <c r="D24">
        <v>2545.0784490065398</v>
      </c>
      <c r="I24" s="4"/>
    </row>
    <row r="25" spans="1:9" x14ac:dyDescent="0.2">
      <c r="A25" t="s">
        <v>16</v>
      </c>
      <c r="B25" t="s">
        <v>2</v>
      </c>
      <c r="C25">
        <v>1</v>
      </c>
      <c r="D25">
        <v>2618</v>
      </c>
      <c r="I25" s="4"/>
    </row>
    <row r="26" spans="1:9" x14ac:dyDescent="0.2">
      <c r="A26" t="s">
        <v>16</v>
      </c>
      <c r="B26" t="s">
        <v>56</v>
      </c>
      <c r="C26">
        <v>0</v>
      </c>
      <c r="D26">
        <v>2587.3274069153899</v>
      </c>
      <c r="I26" s="4"/>
    </row>
    <row r="27" spans="1:9" x14ac:dyDescent="0.2">
      <c r="A27" t="s">
        <v>16</v>
      </c>
      <c r="B27" t="s">
        <v>64</v>
      </c>
      <c r="C27">
        <v>6.3530000000000003E-2</v>
      </c>
      <c r="D27">
        <v>2446.4876338683898</v>
      </c>
      <c r="I27" s="4"/>
    </row>
    <row r="28" spans="1:9" x14ac:dyDescent="0.2">
      <c r="A28" t="s">
        <v>16</v>
      </c>
      <c r="B28" t="s">
        <v>62</v>
      </c>
      <c r="C28">
        <v>0</v>
      </c>
      <c r="D28">
        <v>2330.3135206823099</v>
      </c>
    </row>
    <row r="29" spans="1:9" x14ac:dyDescent="0.2">
      <c r="A29" t="s">
        <v>16</v>
      </c>
      <c r="B29" t="s">
        <v>61</v>
      </c>
      <c r="C29">
        <v>2.8E-3</v>
      </c>
      <c r="D29">
        <v>1973.52639809421</v>
      </c>
    </row>
    <row r="30" spans="1:9" x14ac:dyDescent="0.2">
      <c r="A30" t="s">
        <v>16</v>
      </c>
      <c r="B30" t="s">
        <v>63</v>
      </c>
      <c r="C30">
        <v>0.15878999999999999</v>
      </c>
      <c r="D30">
        <v>1696.3238535712201</v>
      </c>
      <c r="I30" s="4"/>
    </row>
    <row r="31" spans="1:9" x14ac:dyDescent="0.2">
      <c r="A31" t="s">
        <v>16</v>
      </c>
      <c r="B31" t="s">
        <v>60</v>
      </c>
      <c r="C31">
        <v>0</v>
      </c>
      <c r="D31">
        <v>503.39992541040903</v>
      </c>
      <c r="I31" s="4"/>
    </row>
    <row r="32" spans="1:9" x14ac:dyDescent="0.2">
      <c r="A32" t="s">
        <v>16</v>
      </c>
      <c r="B32" t="s">
        <v>59</v>
      </c>
      <c r="C32">
        <v>0</v>
      </c>
      <c r="D32">
        <v>1430.43761615986</v>
      </c>
    </row>
    <row r="33" spans="1:14" x14ac:dyDescent="0.2">
      <c r="A33" t="s">
        <v>16</v>
      </c>
      <c r="B33" t="s">
        <v>57</v>
      </c>
      <c r="C33">
        <v>0</v>
      </c>
      <c r="D33">
        <v>1504.1027784043899</v>
      </c>
      <c r="I33" s="4"/>
    </row>
    <row r="34" spans="1:14" x14ac:dyDescent="0.2">
      <c r="A34" t="s">
        <v>16</v>
      </c>
      <c r="B34" t="s">
        <v>58</v>
      </c>
      <c r="C34">
        <v>0</v>
      </c>
      <c r="D34">
        <v>1383.4626072921101</v>
      </c>
      <c r="I34" s="4"/>
    </row>
    <row r="35" spans="1:14" x14ac:dyDescent="0.2">
      <c r="A35" t="s">
        <v>18</v>
      </c>
      <c r="B35" t="s">
        <v>55</v>
      </c>
      <c r="C35">
        <v>0.21689</v>
      </c>
      <c r="D35">
        <v>927.40271114028906</v>
      </c>
      <c r="I35" s="4"/>
    </row>
    <row r="36" spans="1:14" x14ac:dyDescent="0.2">
      <c r="A36" t="s">
        <v>18</v>
      </c>
      <c r="B36" t="s">
        <v>2</v>
      </c>
      <c r="C36">
        <v>1</v>
      </c>
      <c r="D36">
        <v>926</v>
      </c>
      <c r="I36" s="4"/>
    </row>
    <row r="37" spans="1:14" x14ac:dyDescent="0.2">
      <c r="A37" t="s">
        <v>18</v>
      </c>
      <c r="B37" t="s">
        <v>56</v>
      </c>
      <c r="C37">
        <v>0.11688</v>
      </c>
      <c r="D37">
        <v>951.84284341632394</v>
      </c>
    </row>
    <row r="38" spans="1:14" x14ac:dyDescent="0.2">
      <c r="A38" t="s">
        <v>18</v>
      </c>
      <c r="B38" t="s">
        <v>64</v>
      </c>
      <c r="C38">
        <v>0.23776</v>
      </c>
      <c r="D38">
        <v>689.951446025108</v>
      </c>
    </row>
    <row r="39" spans="1:14" x14ac:dyDescent="0.2">
      <c r="A39" t="s">
        <v>18</v>
      </c>
      <c r="B39" t="s">
        <v>62</v>
      </c>
      <c r="C39" s="4">
        <v>4.0000000000000003E-5</v>
      </c>
      <c r="D39">
        <v>219.64001560108201</v>
      </c>
    </row>
    <row r="40" spans="1:14" x14ac:dyDescent="0.2">
      <c r="A40" t="s">
        <v>18</v>
      </c>
      <c r="B40" t="s">
        <v>61</v>
      </c>
      <c r="C40">
        <v>0</v>
      </c>
      <c r="D40">
        <v>273.54822760219702</v>
      </c>
      <c r="I40" s="4"/>
    </row>
    <row r="41" spans="1:14" x14ac:dyDescent="0.2">
      <c r="A41" t="s">
        <v>18</v>
      </c>
      <c r="B41" t="s">
        <v>63</v>
      </c>
      <c r="C41">
        <v>0</v>
      </c>
      <c r="D41">
        <v>174.80597612997499</v>
      </c>
    </row>
    <row r="42" spans="1:14" x14ac:dyDescent="0.2">
      <c r="A42" t="s">
        <v>18</v>
      </c>
      <c r="B42" t="s">
        <v>60</v>
      </c>
      <c r="C42">
        <v>2.3189999999999999E-2</v>
      </c>
      <c r="D42">
        <v>59.378940750975502</v>
      </c>
    </row>
    <row r="43" spans="1:14" x14ac:dyDescent="0.2">
      <c r="A43" t="s">
        <v>18</v>
      </c>
      <c r="B43" t="s">
        <v>59</v>
      </c>
      <c r="C43">
        <v>0</v>
      </c>
      <c r="D43">
        <v>159.05763189326501</v>
      </c>
      <c r="I43" s="4"/>
    </row>
    <row r="44" spans="1:14" x14ac:dyDescent="0.2">
      <c r="A44" t="s">
        <v>18</v>
      </c>
      <c r="B44" t="s">
        <v>57</v>
      </c>
      <c r="C44">
        <v>0</v>
      </c>
      <c r="D44">
        <v>118.47063077149799</v>
      </c>
    </row>
    <row r="45" spans="1:14" x14ac:dyDescent="0.2">
      <c r="A45" t="s">
        <v>18</v>
      </c>
      <c r="B45" t="s">
        <v>58</v>
      </c>
      <c r="C45">
        <v>0</v>
      </c>
      <c r="D45">
        <v>177.283154521412</v>
      </c>
      <c r="I45" s="4"/>
      <c r="N45" s="4"/>
    </row>
    <row r="46" spans="1:14" x14ac:dyDescent="0.2">
      <c r="A46" t="s">
        <v>17</v>
      </c>
      <c r="B46" t="s">
        <v>55</v>
      </c>
      <c r="C46">
        <v>2.4399999999999999E-3</v>
      </c>
      <c r="D46">
        <v>198.34659140615</v>
      </c>
    </row>
    <row r="47" spans="1:14" x14ac:dyDescent="0.2">
      <c r="A47" t="s">
        <v>17</v>
      </c>
      <c r="B47" t="s">
        <v>2</v>
      </c>
      <c r="C47">
        <v>1</v>
      </c>
      <c r="D47">
        <v>174</v>
      </c>
    </row>
    <row r="48" spans="1:14" x14ac:dyDescent="0.2">
      <c r="A48" t="s">
        <v>17</v>
      </c>
      <c r="B48" t="s">
        <v>56</v>
      </c>
      <c r="C48">
        <v>0.26094000000000001</v>
      </c>
      <c r="D48">
        <v>154.186790975169</v>
      </c>
      <c r="I48" s="4"/>
    </row>
    <row r="49" spans="1:9" x14ac:dyDescent="0.2">
      <c r="A49" t="s">
        <v>17</v>
      </c>
      <c r="B49" t="s">
        <v>64</v>
      </c>
      <c r="C49">
        <v>8.1999999999999998E-4</v>
      </c>
      <c r="D49">
        <v>197.056208802491</v>
      </c>
      <c r="I49" s="4"/>
    </row>
    <row r="50" spans="1:9" x14ac:dyDescent="0.2">
      <c r="A50" t="s">
        <v>17</v>
      </c>
      <c r="B50" t="s">
        <v>62</v>
      </c>
      <c r="C50">
        <v>0.88612000000000002</v>
      </c>
      <c r="D50">
        <v>124.25939403538101</v>
      </c>
    </row>
    <row r="51" spans="1:9" x14ac:dyDescent="0.2">
      <c r="A51" t="s">
        <v>17</v>
      </c>
      <c r="B51" t="s">
        <v>61</v>
      </c>
      <c r="C51">
        <v>0.87821000000000005</v>
      </c>
      <c r="D51">
        <v>123.37209986467199</v>
      </c>
    </row>
    <row r="52" spans="1:9" x14ac:dyDescent="0.2">
      <c r="A52" t="s">
        <v>17</v>
      </c>
      <c r="B52" t="s">
        <v>63</v>
      </c>
      <c r="C52">
        <v>0.71782999999999997</v>
      </c>
      <c r="D52">
        <v>103.22223493163401</v>
      </c>
      <c r="I52" s="4"/>
    </row>
    <row r="53" spans="1:9" x14ac:dyDescent="0.2">
      <c r="A53" t="s">
        <v>17</v>
      </c>
      <c r="B53" t="s">
        <v>60</v>
      </c>
      <c r="C53">
        <v>2.3000000000000001E-4</v>
      </c>
      <c r="D53">
        <v>14.727967178515501</v>
      </c>
      <c r="I53" s="4"/>
    </row>
    <row r="54" spans="1:9" x14ac:dyDescent="0.2">
      <c r="A54" t="s">
        <v>17</v>
      </c>
      <c r="B54" t="s">
        <v>59</v>
      </c>
      <c r="C54">
        <v>0.10894</v>
      </c>
      <c r="D54">
        <v>14.593932389896199</v>
      </c>
      <c r="I54" s="4"/>
    </row>
    <row r="55" spans="1:9" x14ac:dyDescent="0.2">
      <c r="A55" t="s">
        <v>17</v>
      </c>
      <c r="B55" t="s">
        <v>57</v>
      </c>
      <c r="C55">
        <v>1.34E-3</v>
      </c>
      <c r="D55">
        <v>15.298644037708801</v>
      </c>
    </row>
    <row r="56" spans="1:9" x14ac:dyDescent="0.2">
      <c r="A56" t="s">
        <v>17</v>
      </c>
      <c r="B56" t="s">
        <v>58</v>
      </c>
      <c r="C56">
        <v>3.8300000000000001E-3</v>
      </c>
      <c r="D56">
        <v>20.552565179876801</v>
      </c>
    </row>
    <row r="57" spans="1:9" x14ac:dyDescent="0.2">
      <c r="A57" t="s">
        <v>20</v>
      </c>
      <c r="B57" t="s">
        <v>55</v>
      </c>
      <c r="C57">
        <v>7.1999999999999998E-3</v>
      </c>
      <c r="D57">
        <v>3486.4556002254999</v>
      </c>
    </row>
    <row r="58" spans="1:9" x14ac:dyDescent="0.2">
      <c r="A58" t="s">
        <v>20</v>
      </c>
      <c r="B58" t="s">
        <v>2</v>
      </c>
      <c r="C58">
        <v>1</v>
      </c>
      <c r="D58">
        <v>3750</v>
      </c>
    </row>
    <row r="59" spans="1:9" x14ac:dyDescent="0.2">
      <c r="A59" t="s">
        <v>20</v>
      </c>
      <c r="B59" t="s">
        <v>56</v>
      </c>
      <c r="C59">
        <v>0</v>
      </c>
      <c r="D59">
        <v>3289.0642142552001</v>
      </c>
    </row>
    <row r="60" spans="1:9" x14ac:dyDescent="0.2">
      <c r="A60" t="s">
        <v>20</v>
      </c>
      <c r="B60" t="s">
        <v>64</v>
      </c>
      <c r="C60">
        <v>0</v>
      </c>
      <c r="D60">
        <v>3435.4412517220198</v>
      </c>
    </row>
    <row r="61" spans="1:9" x14ac:dyDescent="0.2">
      <c r="A61" t="s">
        <v>20</v>
      </c>
      <c r="B61" t="s">
        <v>62</v>
      </c>
      <c r="C61">
        <v>6.4999999999999997E-4</v>
      </c>
      <c r="D61">
        <v>2484.6976866137602</v>
      </c>
    </row>
    <row r="62" spans="1:9" x14ac:dyDescent="0.2">
      <c r="A62" t="s">
        <v>20</v>
      </c>
      <c r="B62" t="s">
        <v>61</v>
      </c>
      <c r="C62">
        <v>0.36992000000000003</v>
      </c>
      <c r="D62">
        <v>2692.8739471213398</v>
      </c>
    </row>
    <row r="63" spans="1:9" x14ac:dyDescent="0.2">
      <c r="A63" t="s">
        <v>20</v>
      </c>
      <c r="B63" t="s">
        <v>63</v>
      </c>
      <c r="C63">
        <v>0</v>
      </c>
      <c r="D63">
        <v>2483.95796738423</v>
      </c>
    </row>
    <row r="64" spans="1:9" x14ac:dyDescent="0.2">
      <c r="A64" t="s">
        <v>20</v>
      </c>
      <c r="B64" t="s">
        <v>60</v>
      </c>
      <c r="C64">
        <v>0</v>
      </c>
      <c r="D64">
        <v>693.34097832910004</v>
      </c>
    </row>
    <row r="65" spans="1:4" x14ac:dyDescent="0.2">
      <c r="A65" t="s">
        <v>20</v>
      </c>
      <c r="B65" t="s">
        <v>59</v>
      </c>
      <c r="C65">
        <v>0</v>
      </c>
      <c r="D65">
        <v>930.87999502370803</v>
      </c>
    </row>
    <row r="66" spans="1:4" x14ac:dyDescent="0.2">
      <c r="A66" t="s">
        <v>20</v>
      </c>
      <c r="B66" t="s">
        <v>57</v>
      </c>
      <c r="C66">
        <v>0</v>
      </c>
      <c r="D66">
        <v>1048.0451086465</v>
      </c>
    </row>
    <row r="67" spans="1:4" x14ac:dyDescent="0.2">
      <c r="A67" t="s">
        <v>20</v>
      </c>
      <c r="B67" t="s">
        <v>58</v>
      </c>
      <c r="C67">
        <v>0</v>
      </c>
      <c r="D67">
        <v>1057.02899236039</v>
      </c>
    </row>
    <row r="68" spans="1:4" x14ac:dyDescent="0.2">
      <c r="A68" t="s">
        <v>21</v>
      </c>
      <c r="B68" t="s">
        <v>55</v>
      </c>
      <c r="C68">
        <v>0.37907000000000002</v>
      </c>
      <c r="D68">
        <v>2462.1694432835502</v>
      </c>
    </row>
    <row r="69" spans="1:4" x14ac:dyDescent="0.2">
      <c r="A69" t="s">
        <v>21</v>
      </c>
      <c r="B69" t="s">
        <v>2</v>
      </c>
      <c r="C69">
        <v>1</v>
      </c>
      <c r="D69">
        <v>2474</v>
      </c>
    </row>
    <row r="70" spans="1:4" x14ac:dyDescent="0.2">
      <c r="A70" t="s">
        <v>21</v>
      </c>
      <c r="B70" t="s">
        <v>56</v>
      </c>
      <c r="C70">
        <v>0.68533999999999995</v>
      </c>
      <c r="D70">
        <v>2356.07255281481</v>
      </c>
    </row>
    <row r="71" spans="1:4" x14ac:dyDescent="0.2">
      <c r="A71" t="s">
        <v>21</v>
      </c>
      <c r="B71" t="s">
        <v>64</v>
      </c>
      <c r="C71">
        <v>3.4270000000000002E-2</v>
      </c>
      <c r="D71">
        <v>1990.1727559895301</v>
      </c>
    </row>
    <row r="72" spans="1:4" x14ac:dyDescent="0.2">
      <c r="A72" t="s">
        <v>21</v>
      </c>
      <c r="B72" t="s">
        <v>62</v>
      </c>
      <c r="C72">
        <v>0.43807000000000001</v>
      </c>
      <c r="D72">
        <v>1277.1908367871599</v>
      </c>
    </row>
    <row r="73" spans="1:4" x14ac:dyDescent="0.2">
      <c r="A73" t="s">
        <v>21</v>
      </c>
      <c r="B73" t="s">
        <v>61</v>
      </c>
      <c r="C73">
        <v>0</v>
      </c>
      <c r="D73">
        <v>1526.62169450189</v>
      </c>
    </row>
    <row r="74" spans="1:4" x14ac:dyDescent="0.2">
      <c r="A74" t="s">
        <v>21</v>
      </c>
      <c r="B74" t="s">
        <v>63</v>
      </c>
      <c r="C74">
        <v>1.14E-3</v>
      </c>
      <c r="D74">
        <v>1110.63878759676</v>
      </c>
    </row>
    <row r="75" spans="1:4" x14ac:dyDescent="0.2">
      <c r="A75" t="s">
        <v>21</v>
      </c>
      <c r="B75" t="s">
        <v>60</v>
      </c>
      <c r="C75">
        <v>0</v>
      </c>
      <c r="D75">
        <v>330.91274737332702</v>
      </c>
    </row>
    <row r="76" spans="1:4" x14ac:dyDescent="0.2">
      <c r="A76" t="s">
        <v>21</v>
      </c>
      <c r="B76" t="s">
        <v>59</v>
      </c>
      <c r="C76">
        <v>2.1909999999999999E-2</v>
      </c>
      <c r="D76">
        <v>422.373070820213</v>
      </c>
    </row>
    <row r="77" spans="1:4" x14ac:dyDescent="0.2">
      <c r="A77" t="s">
        <v>21</v>
      </c>
      <c r="B77" t="s">
        <v>57</v>
      </c>
      <c r="C77">
        <v>1.822E-2</v>
      </c>
      <c r="D77">
        <v>567.74766021671201</v>
      </c>
    </row>
    <row r="78" spans="1:4" x14ac:dyDescent="0.2">
      <c r="A78" t="s">
        <v>21</v>
      </c>
      <c r="B78" t="s">
        <v>58</v>
      </c>
      <c r="C78">
        <v>4.6299999999999996E-3</v>
      </c>
      <c r="D78">
        <v>626.42712139937805</v>
      </c>
    </row>
    <row r="79" spans="1:4" x14ac:dyDescent="0.2">
      <c r="A79" t="s">
        <v>22</v>
      </c>
      <c r="B79" t="s">
        <v>55</v>
      </c>
      <c r="C79">
        <v>0.45824999999999999</v>
      </c>
      <c r="D79">
        <v>2724.3493705793499</v>
      </c>
    </row>
    <row r="80" spans="1:4" x14ac:dyDescent="0.2">
      <c r="A80" t="s">
        <v>22</v>
      </c>
      <c r="B80" t="s">
        <v>2</v>
      </c>
      <c r="C80">
        <v>1</v>
      </c>
      <c r="D80">
        <v>2812</v>
      </c>
    </row>
    <row r="81" spans="1:4" x14ac:dyDescent="0.2">
      <c r="A81" t="s">
        <v>22</v>
      </c>
      <c r="B81" t="s">
        <v>56</v>
      </c>
      <c r="C81">
        <v>0.62390999999999996</v>
      </c>
      <c r="D81">
        <v>2754.6272481460901</v>
      </c>
    </row>
    <row r="82" spans="1:4" x14ac:dyDescent="0.2">
      <c r="A82" t="s">
        <v>22</v>
      </c>
      <c r="B82" t="s">
        <v>64</v>
      </c>
      <c r="C82">
        <v>1.2999999999999999E-4</v>
      </c>
      <c r="D82">
        <v>2550.2244017554999</v>
      </c>
    </row>
    <row r="83" spans="1:4" x14ac:dyDescent="0.2">
      <c r="A83" t="s">
        <v>22</v>
      </c>
      <c r="B83" t="s">
        <v>62</v>
      </c>
      <c r="C83" s="4">
        <v>6.0000000000000002E-5</v>
      </c>
      <c r="D83">
        <v>1779.9389745106</v>
      </c>
    </row>
    <row r="84" spans="1:4" x14ac:dyDescent="0.2">
      <c r="A84" t="s">
        <v>22</v>
      </c>
      <c r="B84" t="s">
        <v>61</v>
      </c>
      <c r="C84">
        <v>0.12686</v>
      </c>
      <c r="D84">
        <v>1799.8949371652</v>
      </c>
    </row>
    <row r="85" spans="1:4" x14ac:dyDescent="0.2">
      <c r="A85" t="s">
        <v>22</v>
      </c>
      <c r="B85" t="s">
        <v>63</v>
      </c>
      <c r="C85">
        <v>0</v>
      </c>
      <c r="D85">
        <v>1573.20291616384</v>
      </c>
    </row>
    <row r="86" spans="1:4" x14ac:dyDescent="0.2">
      <c r="A86" t="s">
        <v>22</v>
      </c>
      <c r="B86" t="s">
        <v>60</v>
      </c>
      <c r="C86">
        <v>0</v>
      </c>
      <c r="D86">
        <v>318.935638636053</v>
      </c>
    </row>
    <row r="87" spans="1:4" x14ac:dyDescent="0.2">
      <c r="A87" t="s">
        <v>22</v>
      </c>
      <c r="B87" t="s">
        <v>59</v>
      </c>
      <c r="C87">
        <v>0.22683</v>
      </c>
      <c r="D87">
        <v>513.32432004887198</v>
      </c>
    </row>
    <row r="88" spans="1:4" x14ac:dyDescent="0.2">
      <c r="A88" t="s">
        <v>22</v>
      </c>
      <c r="B88" t="s">
        <v>57</v>
      </c>
      <c r="C88">
        <v>2.4160000000000001E-2</v>
      </c>
      <c r="D88">
        <v>507.75382890852302</v>
      </c>
    </row>
    <row r="89" spans="1:4" x14ac:dyDescent="0.2">
      <c r="A89" t="s">
        <v>22</v>
      </c>
      <c r="B89" t="s">
        <v>58</v>
      </c>
      <c r="C89">
        <v>0.65659000000000001</v>
      </c>
      <c r="D89">
        <v>689.87696771066499</v>
      </c>
    </row>
    <row r="90" spans="1:4" x14ac:dyDescent="0.2">
      <c r="A90" t="s">
        <v>19</v>
      </c>
      <c r="B90" t="s">
        <v>55</v>
      </c>
      <c r="C90">
        <v>4.1399999999999996E-3</v>
      </c>
      <c r="D90">
        <v>182.38200912475099</v>
      </c>
    </row>
    <row r="91" spans="1:4" x14ac:dyDescent="0.2">
      <c r="A91" t="s">
        <v>19</v>
      </c>
      <c r="B91" t="s">
        <v>2</v>
      </c>
      <c r="C91">
        <v>1</v>
      </c>
      <c r="D91">
        <v>244</v>
      </c>
    </row>
    <row r="92" spans="1:4" x14ac:dyDescent="0.2">
      <c r="A92" t="s">
        <v>19</v>
      </c>
      <c r="B92" t="s">
        <v>56</v>
      </c>
      <c r="C92">
        <v>1.406E-2</v>
      </c>
      <c r="D92">
        <v>108.41732785238101</v>
      </c>
    </row>
    <row r="93" spans="1:4" x14ac:dyDescent="0.2">
      <c r="A93" t="s">
        <v>19</v>
      </c>
      <c r="B93" t="s">
        <v>64</v>
      </c>
      <c r="C93">
        <v>1.404E-2</v>
      </c>
      <c r="D93">
        <v>171.58586845022501</v>
      </c>
    </row>
    <row r="94" spans="1:4" x14ac:dyDescent="0.2">
      <c r="A94" t="s">
        <v>19</v>
      </c>
      <c r="B94" t="s">
        <v>62</v>
      </c>
      <c r="C94">
        <v>3.015E-2</v>
      </c>
      <c r="D94">
        <v>50.774603647756798</v>
      </c>
    </row>
    <row r="95" spans="1:4" x14ac:dyDescent="0.2">
      <c r="A95" t="s">
        <v>19</v>
      </c>
      <c r="B95" t="s">
        <v>61</v>
      </c>
      <c r="C95">
        <v>3.7670000000000002E-2</v>
      </c>
      <c r="D95">
        <v>42.105820742131101</v>
      </c>
    </row>
    <row r="96" spans="1:4" x14ac:dyDescent="0.2">
      <c r="A96" t="s">
        <v>19</v>
      </c>
      <c r="B96" t="s">
        <v>63</v>
      </c>
      <c r="C96">
        <v>1.25E-3</v>
      </c>
      <c r="D96">
        <v>34.5991636222832</v>
      </c>
    </row>
    <row r="97" spans="1:4" x14ac:dyDescent="0.2">
      <c r="A97" t="s">
        <v>19</v>
      </c>
      <c r="B97" t="s">
        <v>60</v>
      </c>
      <c r="C97">
        <v>0</v>
      </c>
      <c r="D97">
        <v>15.041329459454399</v>
      </c>
    </row>
    <row r="98" spans="1:4" x14ac:dyDescent="0.2">
      <c r="A98" t="s">
        <v>19</v>
      </c>
      <c r="B98" t="s">
        <v>59</v>
      </c>
      <c r="C98">
        <v>0</v>
      </c>
      <c r="D98">
        <v>15.2124295688779</v>
      </c>
    </row>
    <row r="99" spans="1:4" x14ac:dyDescent="0.2">
      <c r="A99" t="s">
        <v>19</v>
      </c>
      <c r="B99" t="s">
        <v>57</v>
      </c>
      <c r="C99">
        <v>0</v>
      </c>
      <c r="D99">
        <v>14.7063631230253</v>
      </c>
    </row>
    <row r="100" spans="1:4" x14ac:dyDescent="0.2">
      <c r="A100" t="s">
        <v>19</v>
      </c>
      <c r="B100" t="s">
        <v>58</v>
      </c>
      <c r="C100">
        <v>0</v>
      </c>
      <c r="D100">
        <v>13.956873631542299</v>
      </c>
    </row>
  </sheetData>
  <conditionalFormatting sqref="B1 B56:B1048576">
    <cfRule type="cellIs" dxfId="2" priority="3" operator="greaterThan">
      <formula>0.05</formula>
    </cfRule>
  </conditionalFormatting>
  <conditionalFormatting sqref="B1:B1048576">
    <cfRule type="cellIs" dxfId="1" priority="2" operator="lessThan">
      <formula>0.05</formula>
    </cfRule>
  </conditionalFormatting>
  <conditionalFormatting sqref="C1:C1048576">
    <cfRule type="cellIs" dxfId="0" priority="1" operator="lessThan">
      <formula>0.05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30CC-97F4-1E4A-B34B-D3AD233BEBE6}">
  <dimension ref="A1:F12"/>
  <sheetViews>
    <sheetView workbookViewId="0">
      <selection activeCell="J10" sqref="J10"/>
    </sheetView>
  </sheetViews>
  <sheetFormatPr baseColWidth="10" defaultRowHeight="16" x14ac:dyDescent="0.2"/>
  <cols>
    <col min="1" max="1" width="23.5" customWidth="1"/>
    <col min="2" max="2" width="21.1640625" customWidth="1"/>
    <col min="6" max="6" width="22.33203125" customWidth="1"/>
  </cols>
  <sheetData>
    <row r="1" spans="1:6" x14ac:dyDescent="0.2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</row>
    <row r="2" spans="1:6" x14ac:dyDescent="0.2">
      <c r="A2" t="s">
        <v>2</v>
      </c>
      <c r="B2" t="s">
        <v>82</v>
      </c>
      <c r="C2">
        <v>0</v>
      </c>
      <c r="D2">
        <v>0</v>
      </c>
    </row>
    <row r="3" spans="1:6" x14ac:dyDescent="0.2">
      <c r="A3" t="s">
        <v>45</v>
      </c>
      <c r="B3" t="s">
        <v>83</v>
      </c>
      <c r="C3">
        <v>0.2</v>
      </c>
      <c r="D3">
        <v>0</v>
      </c>
    </row>
    <row r="4" spans="1:6" x14ac:dyDescent="0.2">
      <c r="A4" t="s">
        <v>46</v>
      </c>
      <c r="B4" t="s">
        <v>84</v>
      </c>
      <c r="C4">
        <v>-0.2</v>
      </c>
      <c r="D4">
        <v>0</v>
      </c>
    </row>
    <row r="5" spans="1:6" x14ac:dyDescent="0.2">
      <c r="A5" t="s">
        <v>47</v>
      </c>
      <c r="B5" t="s">
        <v>85</v>
      </c>
      <c r="C5">
        <v>0</v>
      </c>
      <c r="D5">
        <v>2</v>
      </c>
    </row>
    <row r="6" spans="1:6" x14ac:dyDescent="0.2">
      <c r="A6" t="s">
        <v>48</v>
      </c>
      <c r="B6" t="s">
        <v>86</v>
      </c>
      <c r="C6">
        <v>0</v>
      </c>
      <c r="D6">
        <v>0</v>
      </c>
      <c r="E6">
        <v>0.2</v>
      </c>
      <c r="F6">
        <v>-0.2</v>
      </c>
    </row>
    <row r="7" spans="1:6" x14ac:dyDescent="0.2">
      <c r="A7" t="s">
        <v>49</v>
      </c>
      <c r="B7" t="s">
        <v>87</v>
      </c>
      <c r="C7">
        <v>-0.2</v>
      </c>
      <c r="D7">
        <v>2</v>
      </c>
    </row>
    <row r="8" spans="1:6" x14ac:dyDescent="0.2">
      <c r="A8" t="s">
        <v>50</v>
      </c>
      <c r="B8" t="s">
        <v>88</v>
      </c>
      <c r="C8">
        <v>-0.1</v>
      </c>
      <c r="D8">
        <v>1</v>
      </c>
    </row>
    <row r="9" spans="1:6" x14ac:dyDescent="0.2">
      <c r="A9" t="s">
        <v>51</v>
      </c>
      <c r="B9" t="s">
        <v>89</v>
      </c>
      <c r="C9">
        <v>0.2</v>
      </c>
      <c r="D9">
        <v>2</v>
      </c>
    </row>
    <row r="10" spans="1:6" x14ac:dyDescent="0.2">
      <c r="A10" t="s">
        <v>52</v>
      </c>
      <c r="B10" t="s">
        <v>90</v>
      </c>
      <c r="C10">
        <v>0.1</v>
      </c>
      <c r="D10">
        <v>1</v>
      </c>
    </row>
    <row r="11" spans="1:6" x14ac:dyDescent="0.2">
      <c r="A11" t="s">
        <v>53</v>
      </c>
      <c r="B11" t="s">
        <v>91</v>
      </c>
      <c r="C11">
        <v>0</v>
      </c>
      <c r="D11">
        <v>2</v>
      </c>
      <c r="E11">
        <v>0.2</v>
      </c>
      <c r="F11">
        <v>-0.2</v>
      </c>
    </row>
    <row r="12" spans="1:6" x14ac:dyDescent="0.2">
      <c r="A12" t="s">
        <v>54</v>
      </c>
      <c r="B12" t="s">
        <v>92</v>
      </c>
      <c r="C12">
        <v>0</v>
      </c>
      <c r="D12">
        <v>1</v>
      </c>
      <c r="E12">
        <v>0.1</v>
      </c>
      <c r="F12">
        <v>-0.1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1936-938F-E74C-970C-7A9EDB2592FA}">
  <dimension ref="A1:D9"/>
  <sheetViews>
    <sheetView workbookViewId="0">
      <selection activeCell="C4" sqref="C4"/>
    </sheetView>
  </sheetViews>
  <sheetFormatPr baseColWidth="10" defaultRowHeight="16" x14ac:dyDescent="0.2"/>
  <sheetData>
    <row r="1" spans="1:4" ht="61" thickBot="1" x14ac:dyDescent="0.25">
      <c r="A1" s="7" t="s">
        <v>129</v>
      </c>
      <c r="B1" s="7" t="s">
        <v>130</v>
      </c>
      <c r="C1" s="8" t="s">
        <v>131</v>
      </c>
      <c r="D1" s="7" t="s">
        <v>132</v>
      </c>
    </row>
    <row r="2" spans="1:4" ht="60" x14ac:dyDescent="0.2">
      <c r="A2" s="12" t="s">
        <v>128</v>
      </c>
      <c r="B2" s="13" t="s">
        <v>121</v>
      </c>
      <c r="C2" s="14" t="s">
        <v>104</v>
      </c>
      <c r="D2" s="13">
        <v>10</v>
      </c>
    </row>
    <row r="3" spans="1:4" ht="60" x14ac:dyDescent="0.2">
      <c r="A3" s="9" t="s">
        <v>120</v>
      </c>
      <c r="B3" s="10" t="s">
        <v>121</v>
      </c>
      <c r="C3" s="11" t="s">
        <v>104</v>
      </c>
      <c r="D3" s="10">
        <v>8</v>
      </c>
    </row>
    <row r="4" spans="1:4" ht="60" x14ac:dyDescent="0.2">
      <c r="A4" s="9" t="s">
        <v>116</v>
      </c>
      <c r="B4" s="10" t="s">
        <v>117</v>
      </c>
      <c r="C4" s="11" t="s">
        <v>118</v>
      </c>
      <c r="D4" s="10">
        <v>7</v>
      </c>
    </row>
    <row r="5" spans="1:4" ht="60" x14ac:dyDescent="0.2">
      <c r="A5" s="12" t="s">
        <v>122</v>
      </c>
      <c r="B5" s="13" t="s">
        <v>123</v>
      </c>
      <c r="C5" s="14" t="s">
        <v>124</v>
      </c>
      <c r="D5" s="13">
        <v>6</v>
      </c>
    </row>
    <row r="6" spans="1:4" ht="60" x14ac:dyDescent="0.2">
      <c r="A6" s="9" t="s">
        <v>125</v>
      </c>
      <c r="B6" s="10" t="s">
        <v>117</v>
      </c>
      <c r="C6" s="11" t="s">
        <v>118</v>
      </c>
      <c r="D6" s="10">
        <v>6</v>
      </c>
    </row>
    <row r="7" spans="1:4" ht="60" x14ac:dyDescent="0.2">
      <c r="A7" s="12" t="s">
        <v>119</v>
      </c>
      <c r="B7" s="13" t="s">
        <v>117</v>
      </c>
      <c r="C7" s="14" t="s">
        <v>118</v>
      </c>
      <c r="D7" s="13">
        <v>5</v>
      </c>
    </row>
    <row r="8" spans="1:4" ht="60" x14ac:dyDescent="0.2">
      <c r="A8" s="12" t="s">
        <v>126</v>
      </c>
      <c r="B8" s="13" t="s">
        <v>121</v>
      </c>
      <c r="C8" s="14" t="s">
        <v>104</v>
      </c>
      <c r="D8" s="13">
        <v>5</v>
      </c>
    </row>
    <row r="9" spans="1:4" ht="60" x14ac:dyDescent="0.2">
      <c r="A9" s="9" t="s">
        <v>127</v>
      </c>
      <c r="B9" s="10" t="s">
        <v>121</v>
      </c>
      <c r="C9" s="11" t="s">
        <v>104</v>
      </c>
      <c r="D9" s="10">
        <v>5</v>
      </c>
    </row>
  </sheetData>
  <sortState xmlns:xlrd2="http://schemas.microsoft.com/office/spreadsheetml/2017/richdata2" ref="A2:D9">
    <sortCondition descending="1" ref="D1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4</vt:lpstr>
      <vt:lpstr>Elevation</vt:lpstr>
      <vt:lpstr>Overlap</vt:lpstr>
      <vt:lpstr>Critical Land</vt:lpstr>
      <vt:lpstr>FFM Wide</vt:lpstr>
      <vt:lpstr>FFM</vt:lpstr>
      <vt:lpstr>Scenarios</vt:lpstr>
      <vt:lpstr>Rel importance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Irving</dc:creator>
  <cp:lastModifiedBy>Katie Irving</cp:lastModifiedBy>
  <dcterms:created xsi:type="dcterms:W3CDTF">2023-11-27T19:19:37Z</dcterms:created>
  <dcterms:modified xsi:type="dcterms:W3CDTF">2025-01-09T01:45:13Z</dcterms:modified>
</cp:coreProperties>
</file>